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ish\"/>
    </mc:Choice>
  </mc:AlternateContent>
  <xr:revisionPtr revIDLastSave="0" documentId="13_ncr:1_{DD69B4C0-AC59-4647-BA59-E5F24E1F9354}" xr6:coauthVersionLast="36" xr6:coauthVersionMax="36" xr10:uidLastSave="{00000000-0000-0000-0000-000000000000}"/>
  <bookViews>
    <workbookView xWindow="0" yWindow="0" windowWidth="28800" windowHeight="12225" xr2:uid="{F2B2F0D8-E111-4010-8463-4FE72A2EBD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1" l="1"/>
  <c r="R10" i="1"/>
  <c r="Q10" i="1"/>
  <c r="R12" i="1"/>
  <c r="Q11" i="1"/>
  <c r="P10" i="1"/>
  <c r="R13" i="1"/>
  <c r="Q12" i="1"/>
  <c r="P11" i="1"/>
  <c r="O10" i="1"/>
  <c r="R14" i="1"/>
  <c r="Q13" i="1"/>
  <c r="P12" i="1"/>
  <c r="O11" i="1"/>
  <c r="N10" i="1"/>
  <c r="R15" i="1"/>
  <c r="Q14" i="1"/>
  <c r="P13" i="1"/>
  <c r="O12" i="1"/>
  <c r="N11" i="1"/>
  <c r="M10" i="1"/>
  <c r="M6" i="1" l="1"/>
  <c r="M7" i="1" s="1"/>
  <c r="N6" i="1"/>
  <c r="N7" i="1" s="1"/>
  <c r="O6" i="1"/>
  <c r="O7" i="1" s="1"/>
  <c r="P6" i="1"/>
  <c r="P7" i="1" s="1"/>
  <c r="Q6" i="1"/>
  <c r="Q7" i="1" s="1"/>
  <c r="R6" i="1"/>
  <c r="R7" i="1" s="1"/>
  <c r="L6" i="1"/>
  <c r="L7" i="1" s="1"/>
  <c r="M4" i="1"/>
  <c r="M5" i="1" s="1"/>
  <c r="N4" i="1"/>
  <c r="N5" i="1" s="1"/>
  <c r="O4" i="1"/>
  <c r="O5" i="1" s="1"/>
  <c r="P4" i="1"/>
  <c r="P5" i="1" s="1"/>
  <c r="Q4" i="1"/>
  <c r="Q5" i="1" s="1"/>
  <c r="R4" i="1"/>
  <c r="R5" i="1" s="1"/>
  <c r="L4" i="1"/>
  <c r="L5" i="1" s="1"/>
  <c r="M2" i="1"/>
  <c r="M3" i="1" s="1"/>
  <c r="N2" i="1"/>
  <c r="N3" i="1" s="1"/>
  <c r="O2" i="1"/>
  <c r="O3" i="1" s="1"/>
  <c r="P2" i="1"/>
  <c r="P3" i="1" s="1"/>
  <c r="Q2" i="1"/>
  <c r="Q3" i="1" s="1"/>
  <c r="R2" i="1"/>
  <c r="R3" i="1" s="1"/>
  <c r="L2" i="1"/>
  <c r="L3" i="1" s="1"/>
</calcChain>
</file>

<file path=xl/sharedStrings.xml><?xml version="1.0" encoding="utf-8"?>
<sst xmlns="http://schemas.openxmlformats.org/spreadsheetml/2006/main" count="51" uniqueCount="21">
  <si>
    <t>k</t>
  </si>
  <si>
    <t>термы</t>
  </si>
  <si>
    <t>Низкий</t>
  </si>
  <si>
    <t>Средний</t>
  </si>
  <si>
    <t>Высокий</t>
  </si>
  <si>
    <t>меод парных сравнений</t>
  </si>
  <si>
    <t>(неверно)</t>
  </si>
  <si>
    <t>0.46-0.55</t>
  </si>
  <si>
    <t>0.56-0.65</t>
  </si>
  <si>
    <t>0.66-0.75</t>
  </si>
  <si>
    <t>0.26-0.35</t>
  </si>
  <si>
    <t>0.36-0.45</t>
  </si>
  <si>
    <t>0.76-0.85</t>
  </si>
  <si>
    <t>0.16-0.25</t>
  </si>
  <si>
    <t>0.15-0.25</t>
  </si>
  <si>
    <t>0.25-0.35</t>
  </si>
  <si>
    <t>0.35-0.45</t>
  </si>
  <si>
    <t>0.45-0.55</t>
  </si>
  <si>
    <t>0.55-0.65</t>
  </si>
  <si>
    <t>0.65-0.75</t>
  </si>
  <si>
    <t>0.75-0.85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</si>
</sst>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9">
    <xf numFmtId="0" fontId="0" fillId="0" borderId="0" xfId="0"/>
    <xf numFmtId="0" fontId="1" fillId="2" borderId="1" xfId="1"/>
    <xf numFmtId="0" fontId="1" fillId="2" borderId="1" xfId="1" applyNumberFormat="1"/>
    <xf numFmtId="49" fontId="1" fillId="2" borderId="1" xfId="1" applyNumberFormat="1"/>
    <xf numFmtId="0" fontId="3" fillId="4" borderId="1" xfId="3" applyBorder="1"/>
    <xf numFmtId="0" fontId="4" fillId="5" borderId="1" xfId="4" applyBorder="1"/>
    <xf numFmtId="0" fontId="2" fillId="3" borderId="1" xfId="2" applyBorder="1"/>
    <xf numFmtId="0" fontId="1" fillId="2" borderId="1" xfId="1" applyAlignment="1">
      <alignment horizontal="center"/>
    </xf>
    <xf numFmtId="0" fontId="0" fillId="0" borderId="0" xfId="0" applyAlignment="1">
      <alignment horizontal="center"/>
    </xf>
  </cellXfs>
  <cellStyles count="5">
    <cellStyle name="Вывод" xfId="1" builtinId="21"/>
    <cellStyle name="Нейтральный" xfId="4" builtinId="28"/>
    <cellStyle name="Обычный" xfId="0" builtinId="0"/>
    <cellStyle name="Плохой" xfId="3" builtinId="27"/>
    <cellStyle name="Хороший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Лист1!$L$1:$R$1</c:f>
              <c:strCache>
                <c:ptCount val="7"/>
                <c:pt idx="0">
                  <c:v>0.15-0.25</c:v>
                </c:pt>
                <c:pt idx="1">
                  <c:v>0.25-0.35</c:v>
                </c:pt>
                <c:pt idx="2">
                  <c:v>0.35-0.45</c:v>
                </c:pt>
                <c:pt idx="3">
                  <c:v>0.45-0.55</c:v>
                </c:pt>
                <c:pt idx="4">
                  <c:v>0.55-0.65</c:v>
                </c:pt>
                <c:pt idx="5">
                  <c:v>0.65-0.75</c:v>
                </c:pt>
                <c:pt idx="6">
                  <c:v>0.75-0.85</c:v>
                </c:pt>
              </c:strCache>
            </c:strRef>
          </c:cat>
          <c:val>
            <c:numRef>
              <c:f>Лист1!$L$4:$R$4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F4-4E82-AA8C-5C6ECF490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898207"/>
        <c:axId val="417350831"/>
      </c:lineChart>
      <c:catAx>
        <c:axId val="41689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350831"/>
        <c:crosses val="autoZero"/>
        <c:auto val="1"/>
        <c:lblAlgn val="ctr"/>
        <c:lblOffset val="100"/>
        <c:noMultiLvlLbl val="0"/>
      </c:catAx>
      <c:valAx>
        <c:axId val="4173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89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Низкий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Лист1!$L$1:$R$1</c:f>
              <c:strCache>
                <c:ptCount val="7"/>
                <c:pt idx="0">
                  <c:v>0.15-0.25</c:v>
                </c:pt>
                <c:pt idx="1">
                  <c:v>0.25-0.35</c:v>
                </c:pt>
                <c:pt idx="2">
                  <c:v>0.35-0.45</c:v>
                </c:pt>
                <c:pt idx="3">
                  <c:v>0.45-0.55</c:v>
                </c:pt>
                <c:pt idx="4">
                  <c:v>0.55-0.65</c:v>
                </c:pt>
                <c:pt idx="5">
                  <c:v>0.65-0.75</c:v>
                </c:pt>
                <c:pt idx="6">
                  <c:v>0.75-0.85</c:v>
                </c:pt>
              </c:strCache>
            </c:strRef>
          </c:cat>
          <c:val>
            <c:numRef>
              <c:f>Лист1!$L$2:$R$2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26-4F5D-A01B-466607A1C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3206159"/>
        <c:axId val="418966367"/>
      </c:lineChart>
      <c:catAx>
        <c:axId val="42320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8966367"/>
        <c:crosses val="autoZero"/>
        <c:auto val="1"/>
        <c:lblAlgn val="ctr"/>
        <c:lblOffset val="100"/>
        <c:noMultiLvlLbl val="0"/>
      </c:catAx>
      <c:valAx>
        <c:axId val="41896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3206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Высокий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Лист1!$L$1:$R$1</c:f>
              <c:strCache>
                <c:ptCount val="7"/>
                <c:pt idx="0">
                  <c:v>0.15-0.25</c:v>
                </c:pt>
                <c:pt idx="1">
                  <c:v>0.25-0.35</c:v>
                </c:pt>
                <c:pt idx="2">
                  <c:v>0.35-0.45</c:v>
                </c:pt>
                <c:pt idx="3">
                  <c:v>0.45-0.55</c:v>
                </c:pt>
                <c:pt idx="4">
                  <c:v>0.55-0.65</c:v>
                </c:pt>
                <c:pt idx="5">
                  <c:v>0.65-0.75</c:v>
                </c:pt>
                <c:pt idx="6">
                  <c:v>0.75-0.85</c:v>
                </c:pt>
              </c:strCache>
            </c:strRef>
          </c:cat>
          <c:val>
            <c:numRef>
              <c:f>Лист1!$L$6:$R$6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4D-4213-BEBD-DD1585148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413903"/>
        <c:axId val="417355823"/>
      </c:lineChart>
      <c:catAx>
        <c:axId val="41941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355823"/>
        <c:crosses val="autoZero"/>
        <c:auto val="1"/>
        <c:lblAlgn val="ctr"/>
        <c:lblOffset val="100"/>
        <c:noMultiLvlLbl val="0"/>
      </c:catAx>
      <c:valAx>
        <c:axId val="41735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9413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17</xdr:row>
      <xdr:rowOff>33337</xdr:rowOff>
    </xdr:from>
    <xdr:to>
      <xdr:col>15</xdr:col>
      <xdr:colOff>114300</xdr:colOff>
      <xdr:row>31</xdr:row>
      <xdr:rowOff>109537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F05E16C-EA4B-42D3-819E-B5CC77E8D6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17</xdr:row>
      <xdr:rowOff>23812</xdr:rowOff>
    </xdr:from>
    <xdr:to>
      <xdr:col>7</xdr:col>
      <xdr:colOff>238125</xdr:colOff>
      <xdr:row>31</xdr:row>
      <xdr:rowOff>100012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3C77A42-0847-4146-B13B-B244E4E4A2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314325</xdr:colOff>
      <xdr:row>17</xdr:row>
      <xdr:rowOff>42862</xdr:rowOff>
    </xdr:from>
    <xdr:to>
      <xdr:col>23</xdr:col>
      <xdr:colOff>9525</xdr:colOff>
      <xdr:row>31</xdr:row>
      <xdr:rowOff>119062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59149EC-653D-4384-BFE2-240C81D415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2AB4-2B8C-44A4-BE27-A1AD1B87A802}">
  <dimension ref="A1:R16"/>
  <sheetViews>
    <sheetView tabSelected="1" workbookViewId="0">
      <selection activeCell="U7" sqref="U7"/>
    </sheetView>
  </sheetViews>
  <sheetFormatPr defaultRowHeight="15" x14ac:dyDescent="0.25"/>
  <cols>
    <col min="3" max="3" width="10.5703125" bestFit="1" customWidth="1"/>
    <col min="11" max="11" width="8.85546875" customWidth="1"/>
  </cols>
  <sheetData>
    <row r="1" spans="1:18" x14ac:dyDescent="0.25">
      <c r="A1" s="1" t="s">
        <v>0</v>
      </c>
      <c r="B1" s="1" t="s">
        <v>1</v>
      </c>
      <c r="C1" s="2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K1" t="s">
        <v>1</v>
      </c>
      <c r="L1" s="2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</row>
    <row r="2" spans="1:18" x14ac:dyDescent="0.25">
      <c r="A2" s="7">
        <v>1</v>
      </c>
      <c r="B2" s="4" t="s">
        <v>2</v>
      </c>
      <c r="C2" s="4">
        <v>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K2" s="8" t="s">
        <v>2</v>
      </c>
      <c r="L2">
        <f t="shared" ref="L2:R2" si="0">SUM(C2,C5,C8,C11,C14)</f>
        <v>5</v>
      </c>
      <c r="M2">
        <f t="shared" si="0"/>
        <v>2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</row>
    <row r="3" spans="1:18" x14ac:dyDescent="0.25">
      <c r="A3" s="7"/>
      <c r="B3" s="5" t="s">
        <v>3</v>
      </c>
      <c r="C3" s="5">
        <v>0</v>
      </c>
      <c r="D3" s="5">
        <v>1</v>
      </c>
      <c r="E3" s="5">
        <v>1</v>
      </c>
      <c r="F3" s="5">
        <v>1</v>
      </c>
      <c r="G3" s="5">
        <v>1</v>
      </c>
      <c r="H3" s="5">
        <v>0</v>
      </c>
      <c r="I3" s="5">
        <v>0</v>
      </c>
      <c r="K3" s="8"/>
      <c r="L3">
        <f>L2/5</f>
        <v>1</v>
      </c>
      <c r="M3">
        <f t="shared" ref="M3:R3" si="1">M2/5</f>
        <v>0.4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</row>
    <row r="4" spans="1:18" x14ac:dyDescent="0.25">
      <c r="A4" s="7"/>
      <c r="B4" s="6" t="s">
        <v>4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</v>
      </c>
      <c r="I4" s="6">
        <v>1</v>
      </c>
      <c r="K4" s="8" t="s">
        <v>3</v>
      </c>
      <c r="L4">
        <f t="shared" ref="L4:R4" si="2">SUM(C3,C6,C9,C12,C15)</f>
        <v>0</v>
      </c>
      <c r="M4">
        <f t="shared" si="2"/>
        <v>3</v>
      </c>
      <c r="N4">
        <f t="shared" si="2"/>
        <v>5</v>
      </c>
      <c r="O4">
        <f t="shared" si="2"/>
        <v>5</v>
      </c>
      <c r="P4">
        <f t="shared" si="2"/>
        <v>3</v>
      </c>
      <c r="Q4">
        <f t="shared" si="2"/>
        <v>1</v>
      </c>
      <c r="R4">
        <f t="shared" si="2"/>
        <v>0</v>
      </c>
    </row>
    <row r="5" spans="1:18" x14ac:dyDescent="0.25">
      <c r="A5" s="7">
        <v>2</v>
      </c>
      <c r="B5" s="4" t="s">
        <v>2</v>
      </c>
      <c r="C5" s="4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K5" s="8"/>
      <c r="L5">
        <f>L4/5</f>
        <v>0</v>
      </c>
      <c r="M5">
        <f t="shared" ref="M5:R5" si="3">M4/5</f>
        <v>0.6</v>
      </c>
      <c r="N5">
        <f t="shared" si="3"/>
        <v>1</v>
      </c>
      <c r="O5">
        <f t="shared" si="3"/>
        <v>1</v>
      </c>
      <c r="P5">
        <f t="shared" si="3"/>
        <v>0.6</v>
      </c>
      <c r="Q5">
        <f t="shared" si="3"/>
        <v>0.2</v>
      </c>
      <c r="R5">
        <f t="shared" si="3"/>
        <v>0</v>
      </c>
    </row>
    <row r="6" spans="1:18" x14ac:dyDescent="0.25">
      <c r="A6" s="7"/>
      <c r="B6" s="5" t="s">
        <v>3</v>
      </c>
      <c r="C6" s="5">
        <v>0</v>
      </c>
      <c r="D6" s="5">
        <v>1</v>
      </c>
      <c r="E6" s="5">
        <v>1</v>
      </c>
      <c r="F6" s="5">
        <v>1</v>
      </c>
      <c r="G6" s="5">
        <v>1</v>
      </c>
      <c r="H6" s="5">
        <v>0</v>
      </c>
      <c r="I6" s="5">
        <v>0</v>
      </c>
      <c r="K6" s="8" t="s">
        <v>4</v>
      </c>
      <c r="L6">
        <f t="shared" ref="L6:R6" si="4">SUM(C4,C7,C10,C13,C16)</f>
        <v>0</v>
      </c>
      <c r="M6">
        <f t="shared" si="4"/>
        <v>0</v>
      </c>
      <c r="N6">
        <f t="shared" si="4"/>
        <v>0</v>
      </c>
      <c r="O6">
        <f t="shared" si="4"/>
        <v>0</v>
      </c>
      <c r="P6">
        <f t="shared" si="4"/>
        <v>2</v>
      </c>
      <c r="Q6">
        <f t="shared" si="4"/>
        <v>4</v>
      </c>
      <c r="R6">
        <f t="shared" si="4"/>
        <v>5</v>
      </c>
    </row>
    <row r="7" spans="1:18" x14ac:dyDescent="0.25">
      <c r="A7" s="7"/>
      <c r="B7" s="6" t="s">
        <v>4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1</v>
      </c>
      <c r="I7" s="6">
        <v>1</v>
      </c>
      <c r="K7" s="8"/>
      <c r="L7">
        <f>L6/5</f>
        <v>0</v>
      </c>
      <c r="M7">
        <f t="shared" ref="M7:R7" si="5">M6/5</f>
        <v>0</v>
      </c>
      <c r="N7">
        <f t="shared" si="5"/>
        <v>0</v>
      </c>
      <c r="O7">
        <f t="shared" si="5"/>
        <v>0</v>
      </c>
      <c r="P7">
        <f t="shared" si="5"/>
        <v>0.4</v>
      </c>
      <c r="Q7">
        <f t="shared" si="5"/>
        <v>0.8</v>
      </c>
      <c r="R7">
        <f t="shared" si="5"/>
        <v>1</v>
      </c>
    </row>
    <row r="8" spans="1:18" x14ac:dyDescent="0.25">
      <c r="A8" s="7">
        <v>3</v>
      </c>
      <c r="B8" s="4" t="s">
        <v>2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K8" s="8" t="s">
        <v>5</v>
      </c>
      <c r="L8" s="8"/>
      <c r="M8" s="8"/>
      <c r="N8" s="8"/>
      <c r="O8" s="8"/>
      <c r="P8" s="8"/>
      <c r="Q8" s="8"/>
      <c r="R8" s="8"/>
    </row>
    <row r="9" spans="1:18" x14ac:dyDescent="0.25">
      <c r="A9" s="7"/>
      <c r="B9" s="5" t="s">
        <v>3</v>
      </c>
      <c r="C9" s="5">
        <v>0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0</v>
      </c>
      <c r="K9" t="s">
        <v>6</v>
      </c>
      <c r="L9" s="2" t="s">
        <v>14</v>
      </c>
      <c r="M9" s="3" t="s">
        <v>15</v>
      </c>
      <c r="N9" s="3" t="s">
        <v>16</v>
      </c>
      <c r="O9" s="3" t="s">
        <v>17</v>
      </c>
      <c r="P9" s="3" t="s">
        <v>18</v>
      </c>
      <c r="Q9" s="3" t="s">
        <v>19</v>
      </c>
      <c r="R9" s="3" t="s">
        <v>20</v>
      </c>
    </row>
    <row r="10" spans="1:18" x14ac:dyDescent="0.25">
      <c r="A10" s="7"/>
      <c r="B10" s="6" t="s">
        <v>4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1</v>
      </c>
      <c r="K10" s="2" t="s">
        <v>13</v>
      </c>
      <c r="L10">
        <v>1</v>
      </c>
      <c r="M10">
        <f>1/L11</f>
        <v>0.33333333333333331</v>
      </c>
      <c r="N10">
        <f>1/L12</f>
        <v>0.2</v>
      </c>
      <c r="O10">
        <f>1/L13</f>
        <v>0.14285714285714285</v>
      </c>
      <c r="P10">
        <f>1/L14</f>
        <v>0.1111111111111111</v>
      </c>
      <c r="Q10">
        <f>1/L15</f>
        <v>0.1111111111111111</v>
      </c>
      <c r="R10">
        <f>1/L16</f>
        <v>0.1111111111111111</v>
      </c>
    </row>
    <row r="11" spans="1:18" x14ac:dyDescent="0.25">
      <c r="A11" s="7">
        <v>4</v>
      </c>
      <c r="B11" s="4" t="s">
        <v>2</v>
      </c>
      <c r="C11" s="4">
        <v>1</v>
      </c>
      <c r="D11" s="4">
        <v>1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K11" s="3" t="s">
        <v>10</v>
      </c>
      <c r="L11">
        <v>3</v>
      </c>
      <c r="M11">
        <v>1</v>
      </c>
      <c r="N11">
        <f>1/M12</f>
        <v>0.33333333333333331</v>
      </c>
      <c r="O11">
        <f>1/M13</f>
        <v>0.2</v>
      </c>
      <c r="P11">
        <f>1/M14</f>
        <v>0.14285714285714285</v>
      </c>
      <c r="Q11">
        <f>1/M15</f>
        <v>0.1111111111111111</v>
      </c>
      <c r="R11">
        <f>1/M16</f>
        <v>0.1111111111111111</v>
      </c>
    </row>
    <row r="12" spans="1:18" x14ac:dyDescent="0.25">
      <c r="A12" s="7"/>
      <c r="B12" s="5" t="s">
        <v>3</v>
      </c>
      <c r="C12" s="5">
        <v>0</v>
      </c>
      <c r="D12" s="5">
        <v>0</v>
      </c>
      <c r="E12" s="5">
        <v>1</v>
      </c>
      <c r="F12" s="5">
        <v>1</v>
      </c>
      <c r="G12" s="5">
        <v>0</v>
      </c>
      <c r="H12" s="5">
        <v>0</v>
      </c>
      <c r="I12" s="5">
        <v>0</v>
      </c>
      <c r="K12" s="3" t="s">
        <v>11</v>
      </c>
      <c r="L12">
        <v>5</v>
      </c>
      <c r="M12">
        <v>3</v>
      </c>
      <c r="N12">
        <v>1</v>
      </c>
      <c r="O12">
        <f>1/N13</f>
        <v>0.33333333333333331</v>
      </c>
      <c r="P12">
        <f>1/N14</f>
        <v>0.2</v>
      </c>
      <c r="Q12">
        <f>1/N15</f>
        <v>0.14285714285714285</v>
      </c>
      <c r="R12">
        <f>1/N16</f>
        <v>0.1111111111111111</v>
      </c>
    </row>
    <row r="13" spans="1:18" x14ac:dyDescent="0.25">
      <c r="A13" s="7"/>
      <c r="B13" s="6" t="s">
        <v>4</v>
      </c>
      <c r="C13" s="6">
        <v>0</v>
      </c>
      <c r="D13" s="6">
        <v>0</v>
      </c>
      <c r="E13" s="6">
        <v>0</v>
      </c>
      <c r="F13" s="6">
        <v>0</v>
      </c>
      <c r="G13" s="6">
        <v>1</v>
      </c>
      <c r="H13" s="6">
        <v>1</v>
      </c>
      <c r="I13" s="6">
        <v>1</v>
      </c>
      <c r="K13" s="3" t="s">
        <v>7</v>
      </c>
      <c r="L13">
        <v>7</v>
      </c>
      <c r="M13">
        <v>5</v>
      </c>
      <c r="N13">
        <v>3</v>
      </c>
      <c r="O13">
        <v>1</v>
      </c>
      <c r="P13">
        <f>1/O14</f>
        <v>0.33333333333333331</v>
      </c>
      <c r="Q13">
        <f>1/O15</f>
        <v>0.2</v>
      </c>
      <c r="R13">
        <f>1/O16</f>
        <v>0.14285714285714285</v>
      </c>
    </row>
    <row r="14" spans="1:18" x14ac:dyDescent="0.25">
      <c r="A14" s="7">
        <v>5</v>
      </c>
      <c r="B14" s="4" t="s">
        <v>2</v>
      </c>
      <c r="C14" s="4">
        <v>1</v>
      </c>
      <c r="D14" s="4">
        <v>1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K14" s="3" t="s">
        <v>8</v>
      </c>
      <c r="L14">
        <v>9</v>
      </c>
      <c r="M14">
        <v>7</v>
      </c>
      <c r="N14">
        <v>5</v>
      </c>
      <c r="O14">
        <v>3</v>
      </c>
      <c r="P14">
        <v>1</v>
      </c>
      <c r="Q14">
        <f>1/P15</f>
        <v>0.33333333333333331</v>
      </c>
      <c r="R14">
        <f>1/P16</f>
        <v>0.2</v>
      </c>
    </row>
    <row r="15" spans="1:18" x14ac:dyDescent="0.25">
      <c r="A15" s="7"/>
      <c r="B15" s="5" t="s">
        <v>3</v>
      </c>
      <c r="C15" s="5">
        <v>0</v>
      </c>
      <c r="D15" s="5">
        <v>0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K15" s="3" t="s">
        <v>9</v>
      </c>
      <c r="L15">
        <v>9</v>
      </c>
      <c r="M15">
        <v>9</v>
      </c>
      <c r="N15">
        <v>7</v>
      </c>
      <c r="O15">
        <v>5</v>
      </c>
      <c r="P15">
        <v>3</v>
      </c>
      <c r="Q15">
        <v>1</v>
      </c>
      <c r="R15">
        <f>1/Q16</f>
        <v>0.33333333333333331</v>
      </c>
    </row>
    <row r="16" spans="1:18" x14ac:dyDescent="0.25">
      <c r="A16" s="7"/>
      <c r="B16" s="6" t="s">
        <v>4</v>
      </c>
      <c r="C16" s="6">
        <v>0</v>
      </c>
      <c r="D16" s="6">
        <v>0</v>
      </c>
      <c r="E16" s="6">
        <v>0</v>
      </c>
      <c r="F16" s="6">
        <v>0</v>
      </c>
      <c r="G16" s="6">
        <v>1</v>
      </c>
      <c r="H16" s="6">
        <v>1</v>
      </c>
      <c r="I16" s="6">
        <v>1</v>
      </c>
      <c r="K16" s="3" t="s">
        <v>12</v>
      </c>
      <c r="L16">
        <v>9</v>
      </c>
      <c r="M16">
        <v>9</v>
      </c>
      <c r="N16">
        <v>9</v>
      </c>
      <c r="O16">
        <v>7</v>
      </c>
      <c r="P16">
        <v>5</v>
      </c>
      <c r="Q16">
        <v>3</v>
      </c>
      <c r="R16">
        <v>1</v>
      </c>
    </row>
  </sheetData>
  <mergeCells count="9">
    <mergeCell ref="A8:A10"/>
    <mergeCell ref="A11:A13"/>
    <mergeCell ref="A14:A16"/>
    <mergeCell ref="K2:K3"/>
    <mergeCell ref="K4:K5"/>
    <mergeCell ref="K6:K7"/>
    <mergeCell ref="A2:A4"/>
    <mergeCell ref="A5:A7"/>
    <mergeCell ref="K8:R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Андрей Валентинович</dc:creator>
  <cp:lastModifiedBy>Морозов Андрей Валентинович</cp:lastModifiedBy>
  <dcterms:created xsi:type="dcterms:W3CDTF">2025-09-08T12:06:43Z</dcterms:created>
  <dcterms:modified xsi:type="dcterms:W3CDTF">2025-11-24T11:55:04Z</dcterms:modified>
</cp:coreProperties>
</file>