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4"/>
  <workbookPr defaultThemeVersion="166925"/>
  <mc:AlternateContent xmlns:mc="http://schemas.openxmlformats.org/markup-compatibility/2006">
    <mc:Choice Requires="x15">
      <x15ac:absPath xmlns:x15ac="http://schemas.microsoft.com/office/spreadsheetml/2010/11/ac" url="Z:\gish\"/>
    </mc:Choice>
  </mc:AlternateContent>
  <xr:revisionPtr revIDLastSave="0" documentId="13_ncr:1_{73536CB8-7527-4D46-932E-6CA65483A7ED}" xr6:coauthVersionLast="36" xr6:coauthVersionMax="36" xr10:uidLastSave="{00000000-0000-0000-0000-000000000000}"/>
  <bookViews>
    <workbookView xWindow="0" yWindow="0" windowWidth="28800" windowHeight="12225" activeTab="1" xr2:uid="{F2B2F0D8-E111-4010-8463-4FE72A2EBDAC}"/>
  </bookViews>
  <sheets>
    <sheet name="Лаб1" sheetId="1" r:id="rId1"/>
    <sheet name="Лаб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1" i="2" l="1"/>
  <c r="M22" i="2" s="1"/>
  <c r="N21" i="2"/>
  <c r="N22" i="2" s="1"/>
  <c r="O21" i="2"/>
  <c r="P21" i="2"/>
  <c r="Q21" i="2"/>
  <c r="Q22" i="2" s="1"/>
  <c r="R21" i="2"/>
  <c r="R22" i="2" s="1"/>
  <c r="M23" i="2"/>
  <c r="N23" i="2"/>
  <c r="N24" i="2" s="1"/>
  <c r="O23" i="2"/>
  <c r="P23" i="2"/>
  <c r="P24" i="2" s="1"/>
  <c r="Q23" i="2"/>
  <c r="Q24" i="2" s="1"/>
  <c r="R23" i="2"/>
  <c r="R24" i="2" s="1"/>
  <c r="L23" i="2"/>
  <c r="L24" i="2" s="1"/>
  <c r="P22" i="2"/>
  <c r="L21" i="2"/>
  <c r="L22" i="2" s="1"/>
  <c r="M19" i="2"/>
  <c r="N19" i="2"/>
  <c r="N20" i="2" s="1"/>
  <c r="O19" i="2"/>
  <c r="P19" i="2"/>
  <c r="P20" i="2" s="1"/>
  <c r="Q19" i="2"/>
  <c r="R19" i="2"/>
  <c r="M20" i="2"/>
  <c r="Q20" i="2"/>
  <c r="L19" i="2"/>
  <c r="L20" i="2" s="1"/>
  <c r="O24" i="2"/>
  <c r="M24" i="2"/>
  <c r="O22" i="2"/>
  <c r="O20" i="2"/>
  <c r="R20" i="2"/>
  <c r="L2" i="2"/>
  <c r="L3" i="2" s="1"/>
  <c r="L6" i="2"/>
  <c r="L7" i="2" s="1"/>
  <c r="Q6" i="2"/>
  <c r="Q7" i="2" s="1"/>
  <c r="R6" i="2"/>
  <c r="M7" i="2"/>
  <c r="N7" i="2"/>
  <c r="O7" i="2"/>
  <c r="P7" i="2"/>
  <c r="R7" i="2"/>
  <c r="M5" i="2"/>
  <c r="N5" i="2"/>
  <c r="O5" i="2"/>
  <c r="P5" i="2"/>
  <c r="Q5" i="2"/>
  <c r="R5" i="2"/>
  <c r="M3" i="2"/>
  <c r="N3" i="2"/>
  <c r="O3" i="2"/>
  <c r="P3" i="2"/>
  <c r="Q3" i="2"/>
  <c r="R3" i="2"/>
  <c r="M6" i="2"/>
  <c r="N6" i="2"/>
  <c r="O6" i="2"/>
  <c r="P6" i="2"/>
  <c r="M4" i="2"/>
  <c r="N4" i="2"/>
  <c r="O4" i="2"/>
  <c r="P4" i="2"/>
  <c r="Q4" i="2"/>
  <c r="R4" i="2"/>
  <c r="L4" i="2"/>
  <c r="L5" i="2" s="1"/>
  <c r="Q2" i="2"/>
  <c r="M2" i="2"/>
  <c r="N2" i="2"/>
  <c r="O2" i="2"/>
  <c r="P2" i="2"/>
  <c r="R2" i="2"/>
  <c r="M2" i="1"/>
  <c r="L2" i="1"/>
  <c r="L3" i="1" s="1"/>
  <c r="R11" i="1" l="1"/>
  <c r="R10" i="1"/>
  <c r="Q10" i="1"/>
  <c r="R12" i="1"/>
  <c r="Q11" i="1"/>
  <c r="P10" i="1"/>
  <c r="R13" i="1"/>
  <c r="Q12" i="1"/>
  <c r="P11" i="1"/>
  <c r="O10" i="1"/>
  <c r="R14" i="1"/>
  <c r="Q13" i="1"/>
  <c r="P12" i="1"/>
  <c r="O11" i="1"/>
  <c r="N10" i="1"/>
  <c r="R15" i="1"/>
  <c r="Q14" i="1"/>
  <c r="P13" i="1"/>
  <c r="O12" i="1"/>
  <c r="N11" i="1"/>
  <c r="M10" i="1"/>
  <c r="M6" i="1" l="1"/>
  <c r="M7" i="1" s="1"/>
  <c r="N6" i="1"/>
  <c r="N7" i="1" s="1"/>
  <c r="O6" i="1"/>
  <c r="O7" i="1" s="1"/>
  <c r="P6" i="1"/>
  <c r="P7" i="1" s="1"/>
  <c r="Q6" i="1"/>
  <c r="Q7" i="1" s="1"/>
  <c r="R6" i="1"/>
  <c r="R7" i="1" s="1"/>
  <c r="L6" i="1"/>
  <c r="L7" i="1" s="1"/>
  <c r="M4" i="1"/>
  <c r="M5" i="1" s="1"/>
  <c r="N4" i="1"/>
  <c r="N5" i="1" s="1"/>
  <c r="O4" i="1"/>
  <c r="O5" i="1" s="1"/>
  <c r="P4" i="1"/>
  <c r="P5" i="1" s="1"/>
  <c r="Q4" i="1"/>
  <c r="Q5" i="1" s="1"/>
  <c r="R4" i="1"/>
  <c r="R5" i="1" s="1"/>
  <c r="L4" i="1"/>
  <c r="L5" i="1" s="1"/>
  <c r="M3" i="1"/>
  <c r="N2" i="1"/>
  <c r="N3" i="1" s="1"/>
  <c r="O2" i="1"/>
  <c r="O3" i="1" s="1"/>
  <c r="P2" i="1"/>
  <c r="P3" i="1" s="1"/>
  <c r="Q2" i="1"/>
  <c r="Q3" i="1" s="1"/>
  <c r="R2" i="1"/>
  <c r="R3" i="1" s="1"/>
</calcChain>
</file>

<file path=xl/sharedStrings.xml><?xml version="1.0" encoding="utf-8"?>
<sst xmlns="http://schemas.openxmlformats.org/spreadsheetml/2006/main" count="162" uniqueCount="33">
  <si>
    <t>k</t>
  </si>
  <si>
    <t>термы</t>
  </si>
  <si>
    <t>Низкий</t>
  </si>
  <si>
    <t>Средний</t>
  </si>
  <si>
    <t>Высокий</t>
  </si>
  <si>
    <t>меод парных сравнений</t>
  </si>
  <si>
    <t>(неверно)</t>
  </si>
  <si>
    <t>0.46-0.55</t>
  </si>
  <si>
    <t>0.56-0.65</t>
  </si>
  <si>
    <t>0.66-0.75</t>
  </si>
  <si>
    <t>0.26-0.35</t>
  </si>
  <si>
    <t>0.36-0.45</t>
  </si>
  <si>
    <t>0.76-0.85</t>
  </si>
  <si>
    <t>0.16-0.25</t>
  </si>
  <si>
    <t>0.15-0.25</t>
  </si>
  <si>
    <t>0.25-0.35</t>
  </si>
  <si>
    <t>0.35-0.45</t>
  </si>
  <si>
    <t>0.45-0.55</t>
  </si>
  <si>
    <t>0.55-0.65</t>
  </si>
  <si>
    <t>0.65-0.75</t>
  </si>
  <si>
    <t>0.75-0.85</t>
  </si>
  <si>
    <t>Термы</t>
  </si>
  <si>
    <t>Работа</t>
  </si>
  <si>
    <t>smth</t>
  </si>
  <si>
    <t>Отдых</t>
  </si>
  <si>
    <t>Сон</t>
  </si>
  <si>
    <t>1-3</t>
  </si>
  <si>
    <t>3-5</t>
  </si>
  <si>
    <t>5-7</t>
  </si>
  <si>
    <t>7-9</t>
  </si>
  <si>
    <t>9-11</t>
  </si>
  <si>
    <t>11-13</t>
  </si>
  <si>
    <t>13-15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</si>
</sst>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2" borderId="1" applyNumberFormat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</cellStyleXfs>
  <cellXfs count="33">
    <xf numFmtId="0" fontId="0" fillId="0" borderId="0" xfId="0"/>
    <xf numFmtId="0" fontId="1" fillId="2" borderId="1" xfId="1"/>
    <xf numFmtId="0" fontId="1" fillId="2" borderId="1" xfId="1" applyNumberFormat="1"/>
    <xf numFmtId="49" fontId="1" fillId="2" borderId="1" xfId="1" applyNumberFormat="1"/>
    <xf numFmtId="0" fontId="3" fillId="4" borderId="1" xfId="3" applyBorder="1"/>
    <xf numFmtId="0" fontId="4" fillId="5" borderId="1" xfId="4" applyBorder="1"/>
    <xf numFmtId="0" fontId="2" fillId="3" borderId="1" xfId="2" applyBorder="1"/>
    <xf numFmtId="0" fontId="1" fillId="2" borderId="1" xfId="1" applyAlignment="1">
      <alignment horizontal="center"/>
    </xf>
    <xf numFmtId="0" fontId="0" fillId="0" borderId="0" xfId="0" applyAlignment="1">
      <alignment horizontal="center"/>
    </xf>
    <xf numFmtId="0" fontId="3" fillId="4" borderId="2" xfId="3" applyBorder="1"/>
    <xf numFmtId="0" fontId="4" fillId="5" borderId="2" xfId="4" applyBorder="1"/>
    <xf numFmtId="0" fontId="2" fillId="3" borderId="2" xfId="2" applyBorder="1"/>
    <xf numFmtId="0" fontId="1" fillId="2" borderId="2" xfId="1" applyBorder="1"/>
    <xf numFmtId="0" fontId="1" fillId="2" borderId="2" xfId="1" applyBorder="1" applyAlignment="1">
      <alignment horizontal="center" vertical="center"/>
    </xf>
    <xf numFmtId="49" fontId="1" fillId="2" borderId="2" xfId="1" applyNumberFormat="1" applyBorder="1"/>
    <xf numFmtId="0" fontId="0" fillId="6" borderId="0" xfId="0" applyFill="1"/>
    <xf numFmtId="0" fontId="1" fillId="2" borderId="4" xfId="1" applyBorder="1" applyAlignment="1">
      <alignment horizontal="center" vertical="center"/>
    </xf>
    <xf numFmtId="0" fontId="3" fillId="4" borderId="4" xfId="3" applyBorder="1"/>
    <xf numFmtId="0" fontId="1" fillId="2" borderId="3" xfId="1" applyBorder="1" applyAlignment="1">
      <alignment horizontal="center" vertical="center"/>
    </xf>
    <xf numFmtId="0" fontId="2" fillId="3" borderId="3" xfId="2" applyBorder="1"/>
    <xf numFmtId="0" fontId="1" fillId="2" borderId="3" xfId="1" applyBorder="1"/>
    <xf numFmtId="49" fontId="1" fillId="2" borderId="3" xfId="1" applyNumberFormat="1" applyBorder="1"/>
    <xf numFmtId="0" fontId="1" fillId="2" borderId="5" xfId="1" applyBorder="1" applyAlignment="1">
      <alignment horizontal="center" vertical="center"/>
    </xf>
    <xf numFmtId="0" fontId="3" fillId="4" borderId="5" xfId="3" applyBorder="1"/>
    <xf numFmtId="0" fontId="0" fillId="0" borderId="2" xfId="0" applyBorder="1"/>
    <xf numFmtId="0" fontId="1" fillId="2" borderId="3" xfId="1" applyBorder="1" applyAlignment="1">
      <alignment horizontal="left"/>
    </xf>
    <xf numFmtId="0" fontId="1" fillId="2" borderId="2" xfId="1" applyBorder="1" applyAlignment="1">
      <alignment horizontal="center"/>
    </xf>
    <xf numFmtId="0" fontId="1" fillId="2" borderId="4" xfId="1" applyBorder="1" applyAlignment="1">
      <alignment horizontal="center"/>
    </xf>
    <xf numFmtId="0" fontId="0" fillId="0" borderId="4" xfId="0" applyBorder="1"/>
    <xf numFmtId="0" fontId="1" fillId="2" borderId="5" xfId="1" applyBorder="1" applyAlignment="1">
      <alignment horizontal="center"/>
    </xf>
    <xf numFmtId="0" fontId="0" fillId="0" borderId="5" xfId="0" applyBorder="1"/>
    <xf numFmtId="0" fontId="1" fillId="2" borderId="3" xfId="1" applyBorder="1" applyAlignment="1">
      <alignment horizontal="center"/>
    </xf>
    <xf numFmtId="0" fontId="0" fillId="0" borderId="3" xfId="0" applyBorder="1"/>
  </cellXfs>
  <cellStyles count="5">
    <cellStyle name="Вывод" xfId="1" builtinId="21"/>
    <cellStyle name="Нейтральный" xfId="4" builtinId="28"/>
    <cellStyle name="Обычный" xfId="0" builtinId="0"/>
    <cellStyle name="Плохой" xfId="3" builtinId="27"/>
    <cellStyle name="Хороший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Средний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Лаб1!$L$1:$R$1</c:f>
              <c:strCache>
                <c:ptCount val="7"/>
                <c:pt idx="0">
                  <c:v>0.15-0.25</c:v>
                </c:pt>
                <c:pt idx="1">
                  <c:v>0.25-0.35</c:v>
                </c:pt>
                <c:pt idx="2">
                  <c:v>0.35-0.45</c:v>
                </c:pt>
                <c:pt idx="3">
                  <c:v>0.45-0.55</c:v>
                </c:pt>
                <c:pt idx="4">
                  <c:v>0.55-0.65</c:v>
                </c:pt>
                <c:pt idx="5">
                  <c:v>0.65-0.75</c:v>
                </c:pt>
                <c:pt idx="6">
                  <c:v>0.75-0.85</c:v>
                </c:pt>
              </c:strCache>
            </c:strRef>
          </c:cat>
          <c:val>
            <c:numRef>
              <c:f>Лаб1!$L$4:$R$4</c:f>
              <c:numCache>
                <c:formatCode>General</c:formatCode>
                <c:ptCount val="7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F4-4E82-AA8C-5C6ECF490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898207"/>
        <c:axId val="417350831"/>
      </c:lineChart>
      <c:catAx>
        <c:axId val="416898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7350831"/>
        <c:crosses val="autoZero"/>
        <c:auto val="1"/>
        <c:lblAlgn val="ctr"/>
        <c:lblOffset val="100"/>
        <c:noMultiLvlLbl val="0"/>
      </c:catAx>
      <c:valAx>
        <c:axId val="417350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6898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Низкий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Лаб1!$L$1:$R$1</c:f>
              <c:strCache>
                <c:ptCount val="7"/>
                <c:pt idx="0">
                  <c:v>0.15-0.25</c:v>
                </c:pt>
                <c:pt idx="1">
                  <c:v>0.25-0.35</c:v>
                </c:pt>
                <c:pt idx="2">
                  <c:v>0.35-0.45</c:v>
                </c:pt>
                <c:pt idx="3">
                  <c:v>0.45-0.55</c:v>
                </c:pt>
                <c:pt idx="4">
                  <c:v>0.55-0.65</c:v>
                </c:pt>
                <c:pt idx="5">
                  <c:v>0.65-0.75</c:v>
                </c:pt>
                <c:pt idx="6">
                  <c:v>0.75-0.85</c:v>
                </c:pt>
              </c:strCache>
            </c:strRef>
          </c:cat>
          <c:val>
            <c:numRef>
              <c:f>Лаб1!$L$2:$R$2</c:f>
              <c:numCache>
                <c:formatCode>General</c:formatCode>
                <c:ptCount val="7"/>
                <c:pt idx="0">
                  <c:v>5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26-4F5D-A01B-466607A1C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3206159"/>
        <c:axId val="418966367"/>
      </c:lineChart>
      <c:catAx>
        <c:axId val="423206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8966367"/>
        <c:crosses val="autoZero"/>
        <c:auto val="1"/>
        <c:lblAlgn val="ctr"/>
        <c:lblOffset val="100"/>
        <c:noMultiLvlLbl val="0"/>
      </c:catAx>
      <c:valAx>
        <c:axId val="418966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23206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Высокий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Лаб1!$L$1:$R$1</c:f>
              <c:strCache>
                <c:ptCount val="7"/>
                <c:pt idx="0">
                  <c:v>0.15-0.25</c:v>
                </c:pt>
                <c:pt idx="1">
                  <c:v>0.25-0.35</c:v>
                </c:pt>
                <c:pt idx="2">
                  <c:v>0.35-0.45</c:v>
                </c:pt>
                <c:pt idx="3">
                  <c:v>0.45-0.55</c:v>
                </c:pt>
                <c:pt idx="4">
                  <c:v>0.55-0.65</c:v>
                </c:pt>
                <c:pt idx="5">
                  <c:v>0.65-0.75</c:v>
                </c:pt>
                <c:pt idx="6">
                  <c:v>0.75-0.85</c:v>
                </c:pt>
              </c:strCache>
            </c:strRef>
          </c:cat>
          <c:val>
            <c:numRef>
              <c:f>Лаб1!$L$6:$R$6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4D-4213-BEBD-DD158514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413903"/>
        <c:axId val="417355823"/>
      </c:lineChart>
      <c:catAx>
        <c:axId val="41941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7355823"/>
        <c:crosses val="autoZero"/>
        <c:auto val="1"/>
        <c:lblAlgn val="ctr"/>
        <c:lblOffset val="100"/>
        <c:noMultiLvlLbl val="0"/>
      </c:catAx>
      <c:valAx>
        <c:axId val="417355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9413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400050</xdr:colOff>
      <xdr:row>17</xdr:row>
      <xdr:rowOff>33337</xdr:rowOff>
    </xdr:from>
    <xdr:to>
      <xdr:col>15</xdr:col>
      <xdr:colOff>114300</xdr:colOff>
      <xdr:row>31</xdr:row>
      <xdr:rowOff>109537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9F05E16C-EA4B-42D3-819E-B5CC77E8D6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28575</xdr:colOff>
      <xdr:row>17</xdr:row>
      <xdr:rowOff>23812</xdr:rowOff>
    </xdr:from>
    <xdr:to>
      <xdr:col>7</xdr:col>
      <xdr:colOff>238125</xdr:colOff>
      <xdr:row>31</xdr:row>
      <xdr:rowOff>100012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63C77A42-0847-4146-B13B-B244E4E4A2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314325</xdr:colOff>
      <xdr:row>17</xdr:row>
      <xdr:rowOff>42862</xdr:rowOff>
    </xdr:from>
    <xdr:to>
      <xdr:col>23</xdr:col>
      <xdr:colOff>9525</xdr:colOff>
      <xdr:row>31</xdr:row>
      <xdr:rowOff>119062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659149EC-653D-4384-BFE2-240C81D41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22AB4-2B8C-44A4-BE27-A1AD1B87A802}">
  <dimension ref="A1:R16"/>
  <sheetViews>
    <sheetView workbookViewId="0">
      <selection activeCell="L3" sqref="L3"/>
    </sheetView>
  </sheetViews>
  <sheetFormatPr defaultRowHeight="15" x14ac:dyDescent="0.25"/>
  <cols>
    <col min="3" max="3" width="10.5703125" bestFit="1" customWidth="1"/>
    <col min="11" max="11" width="8.85546875" customWidth="1"/>
  </cols>
  <sheetData>
    <row r="1" spans="1:18" x14ac:dyDescent="0.25">
      <c r="A1" s="1" t="s">
        <v>0</v>
      </c>
      <c r="B1" s="1" t="s">
        <v>1</v>
      </c>
      <c r="C1" s="2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K1" t="s">
        <v>1</v>
      </c>
      <c r="L1" s="2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</row>
    <row r="2" spans="1:18" x14ac:dyDescent="0.25">
      <c r="A2" s="7">
        <v>1</v>
      </c>
      <c r="B2" s="4" t="s">
        <v>2</v>
      </c>
      <c r="C2" s="4">
        <v>1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K2" s="8" t="s">
        <v>2</v>
      </c>
      <c r="L2">
        <f>SUM(C2,C5,C8,C11,C14)</f>
        <v>5</v>
      </c>
      <c r="M2">
        <f>SUM(D2,D5,D8,D11,D14)</f>
        <v>2</v>
      </c>
      <c r="N2">
        <f t="shared" ref="L2:R2" si="0">SUM(E2,E5,E8,E11,E14)</f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</row>
    <row r="3" spans="1:18" x14ac:dyDescent="0.25">
      <c r="A3" s="7"/>
      <c r="B3" s="5" t="s">
        <v>3</v>
      </c>
      <c r="C3" s="5">
        <v>0</v>
      </c>
      <c r="D3" s="5">
        <v>1</v>
      </c>
      <c r="E3" s="5">
        <v>1</v>
      </c>
      <c r="F3" s="5">
        <v>1</v>
      </c>
      <c r="G3" s="5">
        <v>1</v>
      </c>
      <c r="H3" s="5">
        <v>0</v>
      </c>
      <c r="I3" s="5">
        <v>0</v>
      </c>
      <c r="K3" s="8"/>
      <c r="L3">
        <f>L2/5</f>
        <v>1</v>
      </c>
      <c r="M3">
        <f t="shared" ref="M3:R3" si="1">M2/5</f>
        <v>0.4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</row>
    <row r="4" spans="1:18" x14ac:dyDescent="0.25">
      <c r="A4" s="7"/>
      <c r="B4" s="6" t="s">
        <v>4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1</v>
      </c>
      <c r="I4" s="6">
        <v>1</v>
      </c>
      <c r="K4" s="8" t="s">
        <v>3</v>
      </c>
      <c r="L4">
        <f t="shared" ref="L4:R4" si="2">SUM(C3,C6,C9,C12,C15)</f>
        <v>0</v>
      </c>
      <c r="M4">
        <f t="shared" si="2"/>
        <v>3</v>
      </c>
      <c r="N4">
        <f t="shared" si="2"/>
        <v>5</v>
      </c>
      <c r="O4">
        <f t="shared" si="2"/>
        <v>5</v>
      </c>
      <c r="P4">
        <f t="shared" si="2"/>
        <v>3</v>
      </c>
      <c r="Q4">
        <f t="shared" si="2"/>
        <v>1</v>
      </c>
      <c r="R4">
        <f t="shared" si="2"/>
        <v>0</v>
      </c>
    </row>
    <row r="5" spans="1:18" x14ac:dyDescent="0.25">
      <c r="A5" s="7">
        <v>2</v>
      </c>
      <c r="B5" s="4" t="s">
        <v>2</v>
      </c>
      <c r="C5" s="4">
        <v>1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K5" s="8"/>
      <c r="L5">
        <f>L4/5</f>
        <v>0</v>
      </c>
      <c r="M5">
        <f t="shared" ref="M5:R5" si="3">M4/5</f>
        <v>0.6</v>
      </c>
      <c r="N5">
        <f t="shared" si="3"/>
        <v>1</v>
      </c>
      <c r="O5">
        <f t="shared" si="3"/>
        <v>1</v>
      </c>
      <c r="P5">
        <f t="shared" si="3"/>
        <v>0.6</v>
      </c>
      <c r="Q5">
        <f t="shared" si="3"/>
        <v>0.2</v>
      </c>
      <c r="R5">
        <f t="shared" si="3"/>
        <v>0</v>
      </c>
    </row>
    <row r="6" spans="1:18" x14ac:dyDescent="0.25">
      <c r="A6" s="7"/>
      <c r="B6" s="5" t="s">
        <v>3</v>
      </c>
      <c r="C6" s="5">
        <v>0</v>
      </c>
      <c r="D6" s="5">
        <v>1</v>
      </c>
      <c r="E6" s="5">
        <v>1</v>
      </c>
      <c r="F6" s="5">
        <v>1</v>
      </c>
      <c r="G6" s="5">
        <v>1</v>
      </c>
      <c r="H6" s="5">
        <v>0</v>
      </c>
      <c r="I6" s="5">
        <v>0</v>
      </c>
      <c r="K6" s="8" t="s">
        <v>4</v>
      </c>
      <c r="L6">
        <f t="shared" ref="L6:R6" si="4">SUM(C4,C7,C10,C13,C16)</f>
        <v>0</v>
      </c>
      <c r="M6">
        <f t="shared" si="4"/>
        <v>0</v>
      </c>
      <c r="N6">
        <f t="shared" si="4"/>
        <v>0</v>
      </c>
      <c r="O6">
        <f t="shared" si="4"/>
        <v>0</v>
      </c>
      <c r="P6">
        <f t="shared" si="4"/>
        <v>2</v>
      </c>
      <c r="Q6">
        <f t="shared" si="4"/>
        <v>4</v>
      </c>
      <c r="R6">
        <f t="shared" si="4"/>
        <v>5</v>
      </c>
    </row>
    <row r="7" spans="1:18" x14ac:dyDescent="0.25">
      <c r="A7" s="7"/>
      <c r="B7" s="6" t="s">
        <v>4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1</v>
      </c>
      <c r="I7" s="6">
        <v>1</v>
      </c>
      <c r="K7" s="8"/>
      <c r="L7">
        <f>L6/5</f>
        <v>0</v>
      </c>
      <c r="M7">
        <f t="shared" ref="M7:R7" si="5">M6/5</f>
        <v>0</v>
      </c>
      <c r="N7">
        <f t="shared" si="5"/>
        <v>0</v>
      </c>
      <c r="O7">
        <f t="shared" si="5"/>
        <v>0</v>
      </c>
      <c r="P7">
        <f t="shared" si="5"/>
        <v>0.4</v>
      </c>
      <c r="Q7">
        <f t="shared" si="5"/>
        <v>0.8</v>
      </c>
      <c r="R7">
        <f t="shared" si="5"/>
        <v>1</v>
      </c>
    </row>
    <row r="8" spans="1:18" x14ac:dyDescent="0.25">
      <c r="A8" s="7">
        <v>3</v>
      </c>
      <c r="B8" s="4" t="s">
        <v>2</v>
      </c>
      <c r="C8" s="4">
        <v>1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K8" s="8" t="s">
        <v>5</v>
      </c>
      <c r="L8" s="8"/>
      <c r="M8" s="8"/>
      <c r="N8" s="8"/>
      <c r="O8" s="8"/>
      <c r="P8" s="8"/>
      <c r="Q8" s="8"/>
      <c r="R8" s="8"/>
    </row>
    <row r="9" spans="1:18" x14ac:dyDescent="0.25">
      <c r="A9" s="7"/>
      <c r="B9" s="5" t="s">
        <v>3</v>
      </c>
      <c r="C9" s="5">
        <v>0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0</v>
      </c>
      <c r="K9" t="s">
        <v>6</v>
      </c>
      <c r="L9" s="2" t="s">
        <v>14</v>
      </c>
      <c r="M9" s="3" t="s">
        <v>15</v>
      </c>
      <c r="N9" s="3" t="s">
        <v>16</v>
      </c>
      <c r="O9" s="3" t="s">
        <v>17</v>
      </c>
      <c r="P9" s="3" t="s">
        <v>18</v>
      </c>
      <c r="Q9" s="3" t="s">
        <v>19</v>
      </c>
      <c r="R9" s="3" t="s">
        <v>20</v>
      </c>
    </row>
    <row r="10" spans="1:18" x14ac:dyDescent="0.25">
      <c r="A10" s="7"/>
      <c r="B10" s="6" t="s">
        <v>4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1</v>
      </c>
      <c r="K10" s="2" t="s">
        <v>13</v>
      </c>
      <c r="L10">
        <v>1</v>
      </c>
      <c r="M10">
        <f>1/L11</f>
        <v>0.33333333333333331</v>
      </c>
      <c r="N10">
        <f>1/L12</f>
        <v>0.2</v>
      </c>
      <c r="O10">
        <f>1/L13</f>
        <v>0.14285714285714285</v>
      </c>
      <c r="P10">
        <f>1/L14</f>
        <v>0.1111111111111111</v>
      </c>
      <c r="Q10">
        <f>1/L15</f>
        <v>0.1111111111111111</v>
      </c>
      <c r="R10">
        <f>1/L16</f>
        <v>0.1111111111111111</v>
      </c>
    </row>
    <row r="11" spans="1:18" x14ac:dyDescent="0.25">
      <c r="A11" s="7">
        <v>4</v>
      </c>
      <c r="B11" s="4" t="s">
        <v>2</v>
      </c>
      <c r="C11" s="4">
        <v>1</v>
      </c>
      <c r="D11" s="4">
        <v>1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K11" s="3" t="s">
        <v>10</v>
      </c>
      <c r="L11">
        <v>3</v>
      </c>
      <c r="M11">
        <v>1</v>
      </c>
      <c r="N11">
        <f>1/M12</f>
        <v>0.33333333333333331</v>
      </c>
      <c r="O11">
        <f>1/M13</f>
        <v>0.2</v>
      </c>
      <c r="P11">
        <f>1/M14</f>
        <v>0.14285714285714285</v>
      </c>
      <c r="Q11">
        <f>1/M15</f>
        <v>0.1111111111111111</v>
      </c>
      <c r="R11">
        <f>1/M16</f>
        <v>0.1111111111111111</v>
      </c>
    </row>
    <row r="12" spans="1:18" x14ac:dyDescent="0.25">
      <c r="A12" s="7"/>
      <c r="B12" s="5" t="s">
        <v>3</v>
      </c>
      <c r="C12" s="5">
        <v>0</v>
      </c>
      <c r="D12" s="5">
        <v>0</v>
      </c>
      <c r="E12" s="5">
        <v>1</v>
      </c>
      <c r="F12" s="5">
        <v>1</v>
      </c>
      <c r="G12" s="5">
        <v>0</v>
      </c>
      <c r="H12" s="5">
        <v>0</v>
      </c>
      <c r="I12" s="5">
        <v>0</v>
      </c>
      <c r="K12" s="3" t="s">
        <v>11</v>
      </c>
      <c r="L12">
        <v>5</v>
      </c>
      <c r="M12">
        <v>3</v>
      </c>
      <c r="N12">
        <v>1</v>
      </c>
      <c r="O12">
        <f>1/N13</f>
        <v>0.33333333333333331</v>
      </c>
      <c r="P12">
        <f>1/N14</f>
        <v>0.2</v>
      </c>
      <c r="Q12">
        <f>1/N15</f>
        <v>0.14285714285714285</v>
      </c>
      <c r="R12">
        <f>1/N16</f>
        <v>0.1111111111111111</v>
      </c>
    </row>
    <row r="13" spans="1:18" x14ac:dyDescent="0.25">
      <c r="A13" s="7"/>
      <c r="B13" s="6" t="s">
        <v>4</v>
      </c>
      <c r="C13" s="6">
        <v>0</v>
      </c>
      <c r="D13" s="6">
        <v>0</v>
      </c>
      <c r="E13" s="6">
        <v>0</v>
      </c>
      <c r="F13" s="6">
        <v>0</v>
      </c>
      <c r="G13" s="6">
        <v>1</v>
      </c>
      <c r="H13" s="6">
        <v>1</v>
      </c>
      <c r="I13" s="6">
        <v>1</v>
      </c>
      <c r="K13" s="3" t="s">
        <v>7</v>
      </c>
      <c r="L13">
        <v>7</v>
      </c>
      <c r="M13">
        <v>5</v>
      </c>
      <c r="N13">
        <v>3</v>
      </c>
      <c r="O13">
        <v>1</v>
      </c>
      <c r="P13">
        <f>1/O14</f>
        <v>0.33333333333333331</v>
      </c>
      <c r="Q13">
        <f>1/O15</f>
        <v>0.2</v>
      </c>
      <c r="R13">
        <f>1/O16</f>
        <v>0.14285714285714285</v>
      </c>
    </row>
    <row r="14" spans="1:18" x14ac:dyDescent="0.25">
      <c r="A14" s="7">
        <v>5</v>
      </c>
      <c r="B14" s="4" t="s">
        <v>2</v>
      </c>
      <c r="C14" s="4">
        <v>1</v>
      </c>
      <c r="D14" s="4">
        <v>1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K14" s="3" t="s">
        <v>8</v>
      </c>
      <c r="L14">
        <v>9</v>
      </c>
      <c r="M14">
        <v>7</v>
      </c>
      <c r="N14">
        <v>5</v>
      </c>
      <c r="O14">
        <v>3</v>
      </c>
      <c r="P14">
        <v>1</v>
      </c>
      <c r="Q14">
        <f>1/P15</f>
        <v>0.33333333333333331</v>
      </c>
      <c r="R14">
        <f>1/P16</f>
        <v>0.2</v>
      </c>
    </row>
    <row r="15" spans="1:18" x14ac:dyDescent="0.25">
      <c r="A15" s="7"/>
      <c r="B15" s="5" t="s">
        <v>3</v>
      </c>
      <c r="C15" s="5">
        <v>0</v>
      </c>
      <c r="D15" s="5">
        <v>0</v>
      </c>
      <c r="E15" s="5">
        <v>1</v>
      </c>
      <c r="F15" s="5">
        <v>1</v>
      </c>
      <c r="G15" s="5">
        <v>0</v>
      </c>
      <c r="H15" s="5">
        <v>0</v>
      </c>
      <c r="I15" s="5">
        <v>0</v>
      </c>
      <c r="K15" s="3" t="s">
        <v>9</v>
      </c>
      <c r="L15">
        <v>9</v>
      </c>
      <c r="M15">
        <v>9</v>
      </c>
      <c r="N15">
        <v>7</v>
      </c>
      <c r="O15">
        <v>5</v>
      </c>
      <c r="P15">
        <v>3</v>
      </c>
      <c r="Q15">
        <v>1</v>
      </c>
      <c r="R15">
        <f>1/Q16</f>
        <v>0.33333333333333331</v>
      </c>
    </row>
    <row r="16" spans="1:18" x14ac:dyDescent="0.25">
      <c r="A16" s="7"/>
      <c r="B16" s="6" t="s">
        <v>4</v>
      </c>
      <c r="C16" s="6">
        <v>0</v>
      </c>
      <c r="D16" s="6">
        <v>0</v>
      </c>
      <c r="E16" s="6">
        <v>0</v>
      </c>
      <c r="F16" s="6">
        <v>0</v>
      </c>
      <c r="G16" s="6">
        <v>1</v>
      </c>
      <c r="H16" s="6">
        <v>1</v>
      </c>
      <c r="I16" s="6">
        <v>1</v>
      </c>
      <c r="K16" s="3" t="s">
        <v>12</v>
      </c>
      <c r="L16">
        <v>9</v>
      </c>
      <c r="M16">
        <v>9</v>
      </c>
      <c r="N16">
        <v>9</v>
      </c>
      <c r="O16">
        <v>7</v>
      </c>
      <c r="P16">
        <v>5</v>
      </c>
      <c r="Q16">
        <v>3</v>
      </c>
      <c r="R16">
        <v>1</v>
      </c>
    </row>
  </sheetData>
  <mergeCells count="9">
    <mergeCell ref="A8:A10"/>
    <mergeCell ref="A11:A13"/>
    <mergeCell ref="A14:A16"/>
    <mergeCell ref="K2:K3"/>
    <mergeCell ref="K4:K5"/>
    <mergeCell ref="K6:K7"/>
    <mergeCell ref="A2:A4"/>
    <mergeCell ref="A5:A7"/>
    <mergeCell ref="K8:R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8C091-F53A-4640-A463-1A4320D492B0}">
  <dimension ref="A1:R67"/>
  <sheetViews>
    <sheetView tabSelected="1" workbookViewId="0">
      <selection activeCell="K29" sqref="K29"/>
    </sheetView>
  </sheetViews>
  <sheetFormatPr defaultRowHeight="15" x14ac:dyDescent="0.25"/>
  <sheetData>
    <row r="1" spans="1:18" ht="15.75" thickBot="1" x14ac:dyDescent="0.3">
      <c r="A1" s="25" t="s">
        <v>22</v>
      </c>
      <c r="B1" s="20" t="s">
        <v>21</v>
      </c>
      <c r="C1" s="21" t="s">
        <v>26</v>
      </c>
      <c r="D1" s="21" t="s">
        <v>27</v>
      </c>
      <c r="E1" s="21" t="s">
        <v>28</v>
      </c>
      <c r="F1" s="21" t="s">
        <v>29</v>
      </c>
      <c r="G1" s="21" t="s">
        <v>30</v>
      </c>
      <c r="H1" s="21" t="s">
        <v>31</v>
      </c>
      <c r="I1" s="21" t="s">
        <v>32</v>
      </c>
      <c r="K1" s="20" t="s">
        <v>21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</row>
    <row r="2" spans="1:18" x14ac:dyDescent="0.25">
      <c r="A2" s="16">
        <v>1</v>
      </c>
      <c r="B2" s="23" t="s">
        <v>2</v>
      </c>
      <c r="C2" s="17">
        <v>1</v>
      </c>
      <c r="D2" s="17"/>
      <c r="E2" s="17"/>
      <c r="F2" s="17"/>
      <c r="G2" s="17"/>
      <c r="H2" s="17"/>
      <c r="I2" s="17"/>
      <c r="K2" s="29" t="s">
        <v>2</v>
      </c>
      <c r="L2" s="30">
        <f>SUMIF($B$2:$B$16,  "Низкий",C$2:C$16)</f>
        <v>5</v>
      </c>
      <c r="M2" s="30">
        <f>SUMIF($B$2:$B$16,  "Низкий",D$2:D$16)</f>
        <v>0</v>
      </c>
      <c r="N2" s="30">
        <f t="shared" ref="M2:R2" si="0">SUMIF($B$2:$B$16,  "Низкий",E$2:E$16)</f>
        <v>0</v>
      </c>
      <c r="O2" s="30">
        <f t="shared" si="0"/>
        <v>0</v>
      </c>
      <c r="P2" s="30">
        <f t="shared" si="0"/>
        <v>0</v>
      </c>
      <c r="Q2" s="30">
        <f>SUMIF($B$2:$B$16,  "Низкий",H$2:H$16)</f>
        <v>0</v>
      </c>
      <c r="R2" s="30">
        <f t="shared" si="0"/>
        <v>0</v>
      </c>
    </row>
    <row r="3" spans="1:18" ht="15.75" thickBot="1" x14ac:dyDescent="0.3">
      <c r="A3" s="13"/>
      <c r="B3" s="10" t="s">
        <v>3</v>
      </c>
      <c r="C3" s="10"/>
      <c r="D3" s="10"/>
      <c r="E3" s="10"/>
      <c r="F3" s="10">
        <v>1</v>
      </c>
      <c r="G3" s="10"/>
      <c r="H3" s="10"/>
      <c r="I3" s="10"/>
      <c r="K3" s="31"/>
      <c r="L3" s="32">
        <f>L2/5</f>
        <v>1</v>
      </c>
      <c r="M3" s="32">
        <f t="shared" ref="M3:R3" si="1">M2/5</f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</row>
    <row r="4" spans="1:18" ht="15.75" thickBot="1" x14ac:dyDescent="0.3">
      <c r="A4" s="18"/>
      <c r="B4" s="19" t="s">
        <v>4</v>
      </c>
      <c r="C4" s="19"/>
      <c r="D4" s="19"/>
      <c r="E4" s="19"/>
      <c r="F4" s="19"/>
      <c r="G4" s="19"/>
      <c r="H4" s="19"/>
      <c r="I4" s="19">
        <v>1</v>
      </c>
      <c r="K4" s="29" t="s">
        <v>3</v>
      </c>
      <c r="L4" s="30">
        <f>SUMIF($B$2:$B$16,  "Средний",C$2:C$16)</f>
        <v>0</v>
      </c>
      <c r="M4" s="30">
        <f t="shared" ref="M4:R4" si="2">SUMIF($B$2:$B$16,  "Средний",D$2:D$16)</f>
        <v>0</v>
      </c>
      <c r="N4" s="30">
        <f t="shared" si="2"/>
        <v>0</v>
      </c>
      <c r="O4" s="30">
        <f t="shared" si="2"/>
        <v>5</v>
      </c>
      <c r="P4" s="30">
        <f t="shared" si="2"/>
        <v>0</v>
      </c>
      <c r="Q4" s="30">
        <f t="shared" si="2"/>
        <v>0</v>
      </c>
      <c r="R4" s="30">
        <f t="shared" si="2"/>
        <v>0</v>
      </c>
    </row>
    <row r="5" spans="1:18" ht="15.75" thickBot="1" x14ac:dyDescent="0.3">
      <c r="A5" s="22">
        <v>2</v>
      </c>
      <c r="B5" s="23" t="s">
        <v>2</v>
      </c>
      <c r="C5" s="23">
        <v>1</v>
      </c>
      <c r="D5" s="23"/>
      <c r="E5" s="23"/>
      <c r="F5" s="23"/>
      <c r="G5" s="23"/>
      <c r="H5" s="23"/>
      <c r="I5" s="23"/>
      <c r="K5" s="31"/>
      <c r="L5" s="32">
        <f>L4/5</f>
        <v>0</v>
      </c>
      <c r="M5" s="32">
        <f t="shared" ref="M5:R5" si="3">M4/5</f>
        <v>0</v>
      </c>
      <c r="N5" s="32">
        <f t="shared" si="3"/>
        <v>0</v>
      </c>
      <c r="O5" s="32">
        <f t="shared" si="3"/>
        <v>1</v>
      </c>
      <c r="P5" s="32">
        <f t="shared" si="3"/>
        <v>0</v>
      </c>
      <c r="Q5" s="32">
        <f t="shared" si="3"/>
        <v>0</v>
      </c>
      <c r="R5" s="32">
        <f t="shared" si="3"/>
        <v>0</v>
      </c>
    </row>
    <row r="6" spans="1:18" x14ac:dyDescent="0.25">
      <c r="A6" s="13"/>
      <c r="B6" s="10" t="s">
        <v>3</v>
      </c>
      <c r="C6" s="10"/>
      <c r="D6" s="10"/>
      <c r="E6" s="10"/>
      <c r="F6" s="10">
        <v>1</v>
      </c>
      <c r="G6" s="10"/>
      <c r="H6" s="10"/>
      <c r="I6" s="10"/>
      <c r="K6" s="27" t="s">
        <v>4</v>
      </c>
      <c r="L6" s="28">
        <f>SUMIF($B$2:$B$16,  "Высокий",C$2:C$16)</f>
        <v>0</v>
      </c>
      <c r="M6" s="28">
        <f t="shared" ref="M6:R6" si="4">SUMIF($B$2:$B$16,  "Высокий",D$2:D$16)</f>
        <v>0</v>
      </c>
      <c r="N6" s="28">
        <f t="shared" si="4"/>
        <v>0</v>
      </c>
      <c r="O6" s="28">
        <f t="shared" si="4"/>
        <v>0</v>
      </c>
      <c r="P6" s="28">
        <f t="shared" si="4"/>
        <v>0</v>
      </c>
      <c r="Q6" s="28">
        <f>SUMIF($B$2:$B$16,  "Высокий",H$2:H$16)</f>
        <v>0</v>
      </c>
      <c r="R6" s="28">
        <f>SUMIF($B$2:$B$16,  "Высокий",I$2:I$16)</f>
        <v>5</v>
      </c>
    </row>
    <row r="7" spans="1:18" ht="15.75" thickBot="1" x14ac:dyDescent="0.3">
      <c r="A7" s="18"/>
      <c r="B7" s="19" t="s">
        <v>4</v>
      </c>
      <c r="C7" s="19"/>
      <c r="D7" s="19"/>
      <c r="E7" s="19"/>
      <c r="F7" s="19"/>
      <c r="G7" s="19"/>
      <c r="H7" s="19"/>
      <c r="I7" s="19">
        <v>1</v>
      </c>
      <c r="K7" s="26"/>
      <c r="L7" s="24">
        <f>L6/5</f>
        <v>0</v>
      </c>
      <c r="M7" s="24">
        <f t="shared" ref="M7:R7" si="5">M6/5</f>
        <v>0</v>
      </c>
      <c r="N7" s="24">
        <f t="shared" si="5"/>
        <v>0</v>
      </c>
      <c r="O7" s="24">
        <f t="shared" si="5"/>
        <v>0</v>
      </c>
      <c r="P7" s="24">
        <f t="shared" si="5"/>
        <v>0</v>
      </c>
      <c r="Q7" s="24">
        <f t="shared" si="5"/>
        <v>0</v>
      </c>
      <c r="R7" s="24">
        <f t="shared" si="5"/>
        <v>1</v>
      </c>
    </row>
    <row r="8" spans="1:18" x14ac:dyDescent="0.25">
      <c r="A8" s="22">
        <v>3</v>
      </c>
      <c r="B8" s="23" t="s">
        <v>2</v>
      </c>
      <c r="C8" s="23">
        <v>1</v>
      </c>
      <c r="D8" s="23"/>
      <c r="E8" s="23"/>
      <c r="F8" s="23"/>
      <c r="G8" s="23"/>
      <c r="H8" s="23"/>
      <c r="I8" s="23"/>
    </row>
    <row r="9" spans="1:18" x14ac:dyDescent="0.25">
      <c r="A9" s="13"/>
      <c r="B9" s="10" t="s">
        <v>3</v>
      </c>
      <c r="C9" s="10"/>
      <c r="D9" s="10"/>
      <c r="E9" s="10"/>
      <c r="F9" s="10">
        <v>1</v>
      </c>
      <c r="G9" s="10"/>
      <c r="H9" s="10"/>
      <c r="I9" s="10"/>
    </row>
    <row r="10" spans="1:18" ht="15.75" thickBot="1" x14ac:dyDescent="0.3">
      <c r="A10" s="18"/>
      <c r="B10" s="19" t="s">
        <v>4</v>
      </c>
      <c r="C10" s="19"/>
      <c r="D10" s="19"/>
      <c r="E10" s="19"/>
      <c r="F10" s="19"/>
      <c r="G10" s="19"/>
      <c r="H10" s="19"/>
      <c r="I10" s="19">
        <v>1</v>
      </c>
    </row>
    <row r="11" spans="1:18" x14ac:dyDescent="0.25">
      <c r="A11" s="22">
        <v>4</v>
      </c>
      <c r="B11" s="23" t="s">
        <v>2</v>
      </c>
      <c r="C11" s="23">
        <v>1</v>
      </c>
      <c r="D11" s="23"/>
      <c r="E11" s="23"/>
      <c r="F11" s="23"/>
      <c r="G11" s="23"/>
      <c r="H11" s="23"/>
      <c r="I11" s="23"/>
    </row>
    <row r="12" spans="1:18" x14ac:dyDescent="0.25">
      <c r="A12" s="13"/>
      <c r="B12" s="10" t="s">
        <v>3</v>
      </c>
      <c r="C12" s="10"/>
      <c r="D12" s="10"/>
      <c r="E12" s="10"/>
      <c r="F12" s="10">
        <v>1</v>
      </c>
      <c r="G12" s="10"/>
      <c r="H12" s="10"/>
      <c r="I12" s="10"/>
    </row>
    <row r="13" spans="1:18" ht="15.75" thickBot="1" x14ac:dyDescent="0.3">
      <c r="A13" s="18"/>
      <c r="B13" s="19" t="s">
        <v>4</v>
      </c>
      <c r="C13" s="19"/>
      <c r="D13" s="19"/>
      <c r="E13" s="19"/>
      <c r="F13" s="19"/>
      <c r="G13" s="19"/>
      <c r="H13" s="19"/>
      <c r="I13" s="19">
        <v>1</v>
      </c>
    </row>
    <row r="14" spans="1:18" x14ac:dyDescent="0.25">
      <c r="A14" s="16">
        <v>5</v>
      </c>
      <c r="B14" s="17" t="s">
        <v>2</v>
      </c>
      <c r="C14" s="17">
        <v>1</v>
      </c>
      <c r="D14" s="17"/>
      <c r="E14" s="17"/>
      <c r="F14" s="17"/>
      <c r="G14" s="17"/>
      <c r="H14" s="17"/>
      <c r="I14" s="17"/>
    </row>
    <row r="15" spans="1:18" x14ac:dyDescent="0.25">
      <c r="A15" s="13"/>
      <c r="B15" s="10" t="s">
        <v>3</v>
      </c>
      <c r="C15" s="10"/>
      <c r="D15" s="10"/>
      <c r="E15" s="10"/>
      <c r="F15" s="10">
        <v>1</v>
      </c>
      <c r="G15" s="10"/>
      <c r="H15" s="10"/>
      <c r="I15" s="10"/>
    </row>
    <row r="16" spans="1:18" x14ac:dyDescent="0.25">
      <c r="A16" s="13"/>
      <c r="B16" s="11" t="s">
        <v>4</v>
      </c>
      <c r="C16" s="11"/>
      <c r="D16" s="11"/>
      <c r="E16" s="11"/>
      <c r="F16" s="11"/>
      <c r="G16" s="11"/>
      <c r="H16" s="11"/>
      <c r="I16" s="11">
        <v>1</v>
      </c>
    </row>
    <row r="17" spans="1:18" x14ac:dyDescent="0.25">
      <c r="A17" s="15"/>
      <c r="B17" s="15"/>
      <c r="C17" s="15"/>
      <c r="D17" s="15"/>
      <c r="E17" s="15"/>
      <c r="F17" s="15"/>
      <c r="G17" s="15"/>
      <c r="H17" s="15"/>
      <c r="I17" s="15"/>
    </row>
    <row r="18" spans="1:18" ht="15.75" thickBot="1" x14ac:dyDescent="0.3">
      <c r="A18" s="20" t="s">
        <v>24</v>
      </c>
      <c r="B18" s="20" t="s">
        <v>21</v>
      </c>
      <c r="C18" s="21" t="s">
        <v>26</v>
      </c>
      <c r="D18" s="21" t="s">
        <v>27</v>
      </c>
      <c r="E18" s="21" t="s">
        <v>28</v>
      </c>
      <c r="F18" s="21" t="s">
        <v>29</v>
      </c>
      <c r="G18" s="21" t="s">
        <v>30</v>
      </c>
      <c r="H18" s="21" t="s">
        <v>31</v>
      </c>
      <c r="I18" s="21" t="s">
        <v>32</v>
      </c>
      <c r="K18" s="20" t="s">
        <v>21</v>
      </c>
      <c r="L18" s="20" t="s">
        <v>26</v>
      </c>
      <c r="M18" s="20" t="s">
        <v>27</v>
      </c>
      <c r="N18" s="20" t="s">
        <v>28</v>
      </c>
      <c r="O18" s="20" t="s">
        <v>29</v>
      </c>
      <c r="P18" s="20" t="s">
        <v>30</v>
      </c>
      <c r="Q18" s="20" t="s">
        <v>31</v>
      </c>
      <c r="R18" s="20" t="s">
        <v>32</v>
      </c>
    </row>
    <row r="19" spans="1:18" x14ac:dyDescent="0.25">
      <c r="A19" s="16">
        <v>1</v>
      </c>
      <c r="B19" s="23" t="s">
        <v>2</v>
      </c>
      <c r="C19" s="17">
        <v>1</v>
      </c>
      <c r="D19" s="17"/>
      <c r="E19" s="17"/>
      <c r="F19" s="17"/>
      <c r="G19" s="17"/>
      <c r="H19" s="17"/>
      <c r="I19" s="17"/>
      <c r="K19" s="29" t="s">
        <v>2</v>
      </c>
      <c r="L19" s="30">
        <f>SUMIF($B$19:$B$33,  "Низкий",C$19:C$33)</f>
        <v>5</v>
      </c>
      <c r="M19" s="30">
        <f t="shared" ref="M19:R19" si="6">SUMIF($B$19:$B$33,  "Низкий",D$19:D$33)</f>
        <v>0</v>
      </c>
      <c r="N19" s="30">
        <f t="shared" si="6"/>
        <v>0</v>
      </c>
      <c r="O19" s="30">
        <f t="shared" si="6"/>
        <v>0</v>
      </c>
      <c r="P19" s="30">
        <f t="shared" si="6"/>
        <v>0</v>
      </c>
      <c r="Q19" s="30">
        <f t="shared" si="6"/>
        <v>0</v>
      </c>
      <c r="R19" s="30">
        <f t="shared" si="6"/>
        <v>0</v>
      </c>
    </row>
    <row r="20" spans="1:18" ht="15.75" thickBot="1" x14ac:dyDescent="0.3">
      <c r="A20" s="13"/>
      <c r="B20" s="10" t="s">
        <v>3</v>
      </c>
      <c r="C20" s="10"/>
      <c r="D20" s="10"/>
      <c r="E20" s="10"/>
      <c r="F20" s="10">
        <v>1</v>
      </c>
      <c r="G20" s="10"/>
      <c r="H20" s="10"/>
      <c r="I20" s="10"/>
      <c r="K20" s="31"/>
      <c r="L20" s="32">
        <f>L19/5</f>
        <v>1</v>
      </c>
      <c r="M20" s="32">
        <f t="shared" ref="M20" si="7">M19/5</f>
        <v>0</v>
      </c>
      <c r="N20" s="32">
        <f t="shared" ref="N20" si="8">N19/5</f>
        <v>0</v>
      </c>
      <c r="O20" s="32">
        <f t="shared" ref="O20" si="9">O19/5</f>
        <v>0</v>
      </c>
      <c r="P20" s="32">
        <f t="shared" ref="P20" si="10">P19/5</f>
        <v>0</v>
      </c>
      <c r="Q20" s="32">
        <f t="shared" ref="Q20" si="11">Q19/5</f>
        <v>0</v>
      </c>
      <c r="R20" s="32">
        <f t="shared" ref="R20" si="12">R19/5</f>
        <v>0</v>
      </c>
    </row>
    <row r="21" spans="1:18" ht="15.75" thickBot="1" x14ac:dyDescent="0.3">
      <c r="A21" s="18"/>
      <c r="B21" s="19" t="s">
        <v>4</v>
      </c>
      <c r="C21" s="19"/>
      <c r="D21" s="19"/>
      <c r="E21" s="19"/>
      <c r="F21" s="19"/>
      <c r="G21" s="19"/>
      <c r="H21" s="19"/>
      <c r="I21" s="19">
        <v>1</v>
      </c>
      <c r="K21" s="29" t="s">
        <v>3</v>
      </c>
      <c r="L21" s="30">
        <f>SUMIF($B$19:$B$33,  "Средний",C$19:C$33)</f>
        <v>0</v>
      </c>
      <c r="M21" s="30">
        <f t="shared" ref="M21:R21" si="13">SUMIF($B$19:$B$33,  "Средний",D$19:D$33)</f>
        <v>0</v>
      </c>
      <c r="N21" s="30">
        <f t="shared" si="13"/>
        <v>0</v>
      </c>
      <c r="O21" s="30">
        <f t="shared" si="13"/>
        <v>5</v>
      </c>
      <c r="P21" s="30">
        <f t="shared" si="13"/>
        <v>0</v>
      </c>
      <c r="Q21" s="30">
        <f t="shared" si="13"/>
        <v>0</v>
      </c>
      <c r="R21" s="30">
        <f t="shared" si="13"/>
        <v>0</v>
      </c>
    </row>
    <row r="22" spans="1:18" ht="15.75" thickBot="1" x14ac:dyDescent="0.3">
      <c r="A22" s="22">
        <v>2</v>
      </c>
      <c r="B22" s="23" t="s">
        <v>2</v>
      </c>
      <c r="C22" s="23">
        <v>1</v>
      </c>
      <c r="D22" s="23"/>
      <c r="E22" s="23"/>
      <c r="F22" s="23"/>
      <c r="G22" s="23"/>
      <c r="H22" s="23"/>
      <c r="I22" s="23"/>
      <c r="K22" s="31"/>
      <c r="L22" s="32">
        <f>L21/5</f>
        <v>0</v>
      </c>
      <c r="M22" s="32">
        <f t="shared" ref="M22" si="14">M21/5</f>
        <v>0</v>
      </c>
      <c r="N22" s="32">
        <f t="shared" ref="N22" si="15">N21/5</f>
        <v>0</v>
      </c>
      <c r="O22" s="32">
        <f t="shared" ref="O22" si="16">O21/5</f>
        <v>1</v>
      </c>
      <c r="P22" s="32">
        <f t="shared" ref="P22" si="17">P21/5</f>
        <v>0</v>
      </c>
      <c r="Q22" s="32">
        <f t="shared" ref="Q22" si="18">Q21/5</f>
        <v>0</v>
      </c>
      <c r="R22" s="32">
        <f t="shared" ref="R22" si="19">R21/5</f>
        <v>0</v>
      </c>
    </row>
    <row r="23" spans="1:18" x14ac:dyDescent="0.25">
      <c r="A23" s="13"/>
      <c r="B23" s="10" t="s">
        <v>3</v>
      </c>
      <c r="C23" s="10"/>
      <c r="D23" s="10"/>
      <c r="E23" s="10"/>
      <c r="F23" s="10">
        <v>1</v>
      </c>
      <c r="G23" s="10"/>
      <c r="H23" s="10"/>
      <c r="I23" s="10"/>
      <c r="K23" s="27" t="s">
        <v>4</v>
      </c>
      <c r="L23" s="28">
        <f>SUMIF($B$19:$B$33,  "Высокий",C$19:C$33)</f>
        <v>0</v>
      </c>
      <c r="M23" s="28">
        <f t="shared" ref="M23:R23" si="20">SUMIF($B$19:$B$33,  "Высокий",D$19:D$33)</f>
        <v>0</v>
      </c>
      <c r="N23" s="28">
        <f t="shared" si="20"/>
        <v>0</v>
      </c>
      <c r="O23" s="28">
        <f t="shared" si="20"/>
        <v>0</v>
      </c>
      <c r="P23" s="28">
        <f t="shared" si="20"/>
        <v>0</v>
      </c>
      <c r="Q23" s="28">
        <f t="shared" si="20"/>
        <v>0</v>
      </c>
      <c r="R23" s="28">
        <f t="shared" si="20"/>
        <v>5</v>
      </c>
    </row>
    <row r="24" spans="1:18" ht="15.75" thickBot="1" x14ac:dyDescent="0.3">
      <c r="A24" s="18"/>
      <c r="B24" s="19" t="s">
        <v>4</v>
      </c>
      <c r="C24" s="19"/>
      <c r="D24" s="19"/>
      <c r="E24" s="19"/>
      <c r="F24" s="19"/>
      <c r="G24" s="19"/>
      <c r="H24" s="19"/>
      <c r="I24" s="19">
        <v>1</v>
      </c>
      <c r="K24" s="26"/>
      <c r="L24" s="24">
        <f>L23/5</f>
        <v>0</v>
      </c>
      <c r="M24" s="24">
        <f t="shared" ref="M24" si="21">M23/5</f>
        <v>0</v>
      </c>
      <c r="N24" s="24">
        <f t="shared" ref="N24" si="22">N23/5</f>
        <v>0</v>
      </c>
      <c r="O24" s="24">
        <f t="shared" ref="O24" si="23">O23/5</f>
        <v>0</v>
      </c>
      <c r="P24" s="24">
        <f t="shared" ref="P24" si="24">P23/5</f>
        <v>0</v>
      </c>
      <c r="Q24" s="24">
        <f t="shared" ref="Q24" si="25">Q23/5</f>
        <v>0</v>
      </c>
      <c r="R24" s="24">
        <f t="shared" ref="R24" si="26">R23/5</f>
        <v>1</v>
      </c>
    </row>
    <row r="25" spans="1:18" x14ac:dyDescent="0.25">
      <c r="A25" s="22">
        <v>3</v>
      </c>
      <c r="B25" s="23" t="s">
        <v>2</v>
      </c>
      <c r="C25" s="23">
        <v>1</v>
      </c>
      <c r="D25" s="23"/>
      <c r="E25" s="23"/>
      <c r="F25" s="23"/>
      <c r="G25" s="23"/>
      <c r="H25" s="23"/>
      <c r="I25" s="23"/>
    </row>
    <row r="26" spans="1:18" x14ac:dyDescent="0.25">
      <c r="A26" s="13"/>
      <c r="B26" s="10" t="s">
        <v>3</v>
      </c>
      <c r="C26" s="10"/>
      <c r="D26" s="10"/>
      <c r="E26" s="10"/>
      <c r="F26" s="10">
        <v>1</v>
      </c>
      <c r="G26" s="10"/>
      <c r="H26" s="10"/>
      <c r="I26" s="10"/>
    </row>
    <row r="27" spans="1:18" ht="15.75" thickBot="1" x14ac:dyDescent="0.3">
      <c r="A27" s="18"/>
      <c r="B27" s="19" t="s">
        <v>4</v>
      </c>
      <c r="C27" s="19"/>
      <c r="D27" s="19"/>
      <c r="E27" s="19"/>
      <c r="F27" s="19"/>
      <c r="G27" s="19"/>
      <c r="H27" s="19"/>
      <c r="I27" s="19">
        <v>1</v>
      </c>
    </row>
    <row r="28" spans="1:18" x14ac:dyDescent="0.25">
      <c r="A28" s="22">
        <v>4</v>
      </c>
      <c r="B28" s="23" t="s">
        <v>2</v>
      </c>
      <c r="C28" s="23">
        <v>1</v>
      </c>
      <c r="D28" s="23"/>
      <c r="E28" s="23"/>
      <c r="F28" s="23"/>
      <c r="G28" s="23"/>
      <c r="H28" s="23"/>
      <c r="I28" s="23"/>
    </row>
    <row r="29" spans="1:18" x14ac:dyDescent="0.25">
      <c r="A29" s="13"/>
      <c r="B29" s="10" t="s">
        <v>3</v>
      </c>
      <c r="C29" s="10"/>
      <c r="D29" s="10"/>
      <c r="E29" s="10"/>
      <c r="F29" s="10">
        <v>1</v>
      </c>
      <c r="G29" s="10"/>
      <c r="H29" s="10"/>
      <c r="I29" s="10"/>
    </row>
    <row r="30" spans="1:18" ht="15.75" thickBot="1" x14ac:dyDescent="0.3">
      <c r="A30" s="18"/>
      <c r="B30" s="19" t="s">
        <v>4</v>
      </c>
      <c r="C30" s="19"/>
      <c r="D30" s="19"/>
      <c r="E30" s="19"/>
      <c r="F30" s="19"/>
      <c r="G30" s="19"/>
      <c r="H30" s="19"/>
      <c r="I30" s="19">
        <v>1</v>
      </c>
    </row>
    <row r="31" spans="1:18" x14ac:dyDescent="0.25">
      <c r="A31" s="16">
        <v>5</v>
      </c>
      <c r="B31" s="17" t="s">
        <v>2</v>
      </c>
      <c r="C31" s="17">
        <v>1</v>
      </c>
      <c r="D31" s="17"/>
      <c r="E31" s="17"/>
      <c r="F31" s="17"/>
      <c r="G31" s="17"/>
      <c r="H31" s="17"/>
      <c r="I31" s="17"/>
    </row>
    <row r="32" spans="1:18" x14ac:dyDescent="0.25">
      <c r="A32" s="13"/>
      <c r="B32" s="10" t="s">
        <v>3</v>
      </c>
      <c r="C32" s="10"/>
      <c r="D32" s="10"/>
      <c r="E32" s="10"/>
      <c r="F32" s="10">
        <v>1</v>
      </c>
      <c r="G32" s="10"/>
      <c r="H32" s="10"/>
      <c r="I32" s="10"/>
    </row>
    <row r="33" spans="1:9" x14ac:dyDescent="0.25">
      <c r="A33" s="13"/>
      <c r="B33" s="11" t="s">
        <v>4</v>
      </c>
      <c r="C33" s="11"/>
      <c r="D33" s="11"/>
      <c r="E33" s="11"/>
      <c r="F33" s="11"/>
      <c r="G33" s="11"/>
      <c r="H33" s="11"/>
      <c r="I33" s="11">
        <v>1</v>
      </c>
    </row>
    <row r="34" spans="1:9" x14ac:dyDescent="0.25">
      <c r="A34" s="15"/>
      <c r="B34" s="15"/>
      <c r="C34" s="15"/>
      <c r="D34" s="15"/>
      <c r="E34" s="15"/>
      <c r="F34" s="15"/>
      <c r="G34" s="15"/>
      <c r="H34" s="15"/>
      <c r="I34" s="15"/>
    </row>
    <row r="35" spans="1:9" ht="15.75" thickBot="1" x14ac:dyDescent="0.3">
      <c r="A35" s="20" t="s">
        <v>25</v>
      </c>
      <c r="B35" s="20" t="s">
        <v>21</v>
      </c>
      <c r="C35" s="21" t="s">
        <v>26</v>
      </c>
      <c r="D35" s="21" t="s">
        <v>27</v>
      </c>
      <c r="E35" s="21" t="s">
        <v>28</v>
      </c>
      <c r="F35" s="21" t="s">
        <v>29</v>
      </c>
      <c r="G35" s="21" t="s">
        <v>30</v>
      </c>
      <c r="H35" s="21" t="s">
        <v>31</v>
      </c>
      <c r="I35" s="21" t="s">
        <v>32</v>
      </c>
    </row>
    <row r="36" spans="1:9" x14ac:dyDescent="0.25">
      <c r="A36" s="16">
        <v>1</v>
      </c>
      <c r="B36" s="23" t="s">
        <v>2</v>
      </c>
      <c r="C36" s="17"/>
      <c r="D36" s="17"/>
      <c r="E36" s="17"/>
      <c r="F36" s="17"/>
      <c r="G36" s="17"/>
      <c r="H36" s="17"/>
      <c r="I36" s="17"/>
    </row>
    <row r="37" spans="1:9" x14ac:dyDescent="0.25">
      <c r="A37" s="13"/>
      <c r="B37" s="10" t="s">
        <v>3</v>
      </c>
      <c r="C37" s="10"/>
      <c r="D37" s="10"/>
      <c r="E37" s="10"/>
      <c r="F37" s="10">
        <v>1</v>
      </c>
      <c r="G37" s="10"/>
      <c r="H37" s="10"/>
      <c r="I37" s="10"/>
    </row>
    <row r="38" spans="1:9" ht="15.75" thickBot="1" x14ac:dyDescent="0.3">
      <c r="A38" s="18"/>
      <c r="B38" s="19" t="s">
        <v>4</v>
      </c>
      <c r="C38" s="19"/>
      <c r="D38" s="19"/>
      <c r="E38" s="19"/>
      <c r="F38" s="19"/>
      <c r="G38" s="19"/>
      <c r="H38" s="19"/>
      <c r="I38" s="19">
        <v>1</v>
      </c>
    </row>
    <row r="39" spans="1:9" x14ac:dyDescent="0.25">
      <c r="A39" s="22">
        <v>2</v>
      </c>
      <c r="B39" s="23" t="s">
        <v>2</v>
      </c>
      <c r="C39" s="23"/>
      <c r="D39" s="23"/>
      <c r="E39" s="23"/>
      <c r="F39" s="23"/>
      <c r="G39" s="23"/>
      <c r="H39" s="23"/>
      <c r="I39" s="23"/>
    </row>
    <row r="40" spans="1:9" x14ac:dyDescent="0.25">
      <c r="A40" s="13"/>
      <c r="B40" s="10" t="s">
        <v>3</v>
      </c>
      <c r="C40" s="10"/>
      <c r="D40" s="10"/>
      <c r="E40" s="10"/>
      <c r="F40" s="10">
        <v>1</v>
      </c>
      <c r="G40" s="10"/>
      <c r="H40" s="10"/>
      <c r="I40" s="10"/>
    </row>
    <row r="41" spans="1:9" ht="15.75" thickBot="1" x14ac:dyDescent="0.3">
      <c r="A41" s="18"/>
      <c r="B41" s="19" t="s">
        <v>4</v>
      </c>
      <c r="C41" s="19"/>
      <c r="D41" s="19"/>
      <c r="E41" s="19"/>
      <c r="F41" s="19"/>
      <c r="G41" s="19"/>
      <c r="H41" s="19"/>
      <c r="I41" s="19">
        <v>1</v>
      </c>
    </row>
    <row r="42" spans="1:9" x14ac:dyDescent="0.25">
      <c r="A42" s="22">
        <v>3</v>
      </c>
      <c r="B42" s="23" t="s">
        <v>2</v>
      </c>
      <c r="C42" s="23"/>
      <c r="D42" s="23"/>
      <c r="E42" s="23"/>
      <c r="F42" s="23"/>
      <c r="G42" s="23"/>
      <c r="H42" s="23"/>
      <c r="I42" s="23"/>
    </row>
    <row r="43" spans="1:9" x14ac:dyDescent="0.25">
      <c r="A43" s="13"/>
      <c r="B43" s="10" t="s">
        <v>3</v>
      </c>
      <c r="C43" s="10"/>
      <c r="D43" s="10"/>
      <c r="E43" s="10"/>
      <c r="F43" s="10">
        <v>1</v>
      </c>
      <c r="G43" s="10"/>
      <c r="H43" s="10"/>
      <c r="I43" s="10"/>
    </row>
    <row r="44" spans="1:9" ht="15.75" thickBot="1" x14ac:dyDescent="0.3">
      <c r="A44" s="18"/>
      <c r="B44" s="19" t="s">
        <v>4</v>
      </c>
      <c r="C44" s="19"/>
      <c r="D44" s="19"/>
      <c r="E44" s="19"/>
      <c r="F44" s="19"/>
      <c r="G44" s="19"/>
      <c r="H44" s="19"/>
      <c r="I44" s="19">
        <v>1</v>
      </c>
    </row>
    <row r="45" spans="1:9" x14ac:dyDescent="0.25">
      <c r="A45" s="22">
        <v>4</v>
      </c>
      <c r="B45" s="23" t="s">
        <v>2</v>
      </c>
      <c r="C45" s="23"/>
      <c r="D45" s="23"/>
      <c r="E45" s="23"/>
      <c r="F45" s="23"/>
      <c r="G45" s="23"/>
      <c r="H45" s="23"/>
      <c r="I45" s="23"/>
    </row>
    <row r="46" spans="1:9" x14ac:dyDescent="0.25">
      <c r="A46" s="13"/>
      <c r="B46" s="10" t="s">
        <v>3</v>
      </c>
      <c r="C46" s="10"/>
      <c r="D46" s="10"/>
      <c r="E46" s="10"/>
      <c r="F46" s="10">
        <v>1</v>
      </c>
      <c r="G46" s="10"/>
      <c r="H46" s="10"/>
      <c r="I46" s="10"/>
    </row>
    <row r="47" spans="1:9" ht="15.75" thickBot="1" x14ac:dyDescent="0.3">
      <c r="A47" s="18"/>
      <c r="B47" s="19" t="s">
        <v>4</v>
      </c>
      <c r="C47" s="19"/>
      <c r="D47" s="19"/>
      <c r="E47" s="19"/>
      <c r="F47" s="19"/>
      <c r="G47" s="19"/>
      <c r="H47" s="19"/>
      <c r="I47" s="19">
        <v>1</v>
      </c>
    </row>
    <row r="48" spans="1:9" x14ac:dyDescent="0.25">
      <c r="A48" s="16">
        <v>5</v>
      </c>
      <c r="B48" s="17" t="s">
        <v>2</v>
      </c>
      <c r="C48" s="17"/>
      <c r="D48" s="17"/>
      <c r="E48" s="17"/>
      <c r="F48" s="17"/>
      <c r="G48" s="17"/>
      <c r="H48" s="17"/>
      <c r="I48" s="17"/>
    </row>
    <row r="49" spans="1:9" x14ac:dyDescent="0.25">
      <c r="A49" s="13"/>
      <c r="B49" s="10" t="s">
        <v>3</v>
      </c>
      <c r="C49" s="10"/>
      <c r="D49" s="10"/>
      <c r="E49" s="10"/>
      <c r="F49" s="10">
        <v>1</v>
      </c>
      <c r="G49" s="10"/>
      <c r="H49" s="10"/>
      <c r="I49" s="10"/>
    </row>
    <row r="50" spans="1:9" x14ac:dyDescent="0.25">
      <c r="A50" s="13"/>
      <c r="B50" s="11" t="s">
        <v>4</v>
      </c>
      <c r="C50" s="11"/>
      <c r="D50" s="11"/>
      <c r="E50" s="11"/>
      <c r="F50" s="11"/>
      <c r="G50" s="11"/>
      <c r="H50" s="11"/>
      <c r="I50" s="11">
        <v>1</v>
      </c>
    </row>
    <row r="51" spans="1:9" x14ac:dyDescent="0.25">
      <c r="A51" s="15"/>
      <c r="B51" s="15"/>
      <c r="C51" s="15"/>
      <c r="D51" s="15"/>
      <c r="E51" s="15"/>
      <c r="F51" s="15"/>
      <c r="G51" s="15"/>
      <c r="H51" s="15"/>
      <c r="I51" s="15"/>
    </row>
    <row r="52" spans="1:9" x14ac:dyDescent="0.25">
      <c r="A52" s="12" t="s">
        <v>23</v>
      </c>
      <c r="B52" s="12" t="s">
        <v>21</v>
      </c>
      <c r="C52" s="14">
        <v>1</v>
      </c>
      <c r="D52" s="14">
        <v>2</v>
      </c>
      <c r="E52" s="14">
        <v>3</v>
      </c>
      <c r="F52" s="14">
        <v>4</v>
      </c>
      <c r="G52" s="14">
        <v>5</v>
      </c>
      <c r="H52" s="14">
        <v>6</v>
      </c>
      <c r="I52" s="14">
        <v>7</v>
      </c>
    </row>
    <row r="53" spans="1:9" x14ac:dyDescent="0.25">
      <c r="A53" s="13">
        <v>1</v>
      </c>
      <c r="B53" s="9" t="s">
        <v>2</v>
      </c>
      <c r="C53" s="9"/>
      <c r="D53" s="9"/>
      <c r="E53" s="9"/>
      <c r="F53" s="9"/>
      <c r="G53" s="9"/>
      <c r="H53" s="9"/>
      <c r="I53" s="9"/>
    </row>
    <row r="54" spans="1:9" x14ac:dyDescent="0.25">
      <c r="A54" s="13"/>
      <c r="B54" s="10" t="s">
        <v>3</v>
      </c>
      <c r="C54" s="10"/>
      <c r="D54" s="10"/>
      <c r="E54" s="10"/>
      <c r="F54" s="10"/>
      <c r="G54" s="10"/>
      <c r="H54" s="10"/>
      <c r="I54" s="10"/>
    </row>
    <row r="55" spans="1:9" x14ac:dyDescent="0.25">
      <c r="A55" s="13"/>
      <c r="B55" s="11" t="s">
        <v>4</v>
      </c>
      <c r="C55" s="11"/>
      <c r="D55" s="11"/>
      <c r="E55" s="11"/>
      <c r="F55" s="11"/>
      <c r="G55" s="11"/>
      <c r="H55" s="11"/>
      <c r="I55" s="11"/>
    </row>
    <row r="56" spans="1:9" x14ac:dyDescent="0.25">
      <c r="A56" s="13">
        <v>2</v>
      </c>
      <c r="B56" s="9" t="s">
        <v>2</v>
      </c>
      <c r="C56" s="9"/>
      <c r="D56" s="9"/>
      <c r="E56" s="9"/>
      <c r="F56" s="9"/>
      <c r="G56" s="9"/>
      <c r="H56" s="9"/>
      <c r="I56" s="9"/>
    </row>
    <row r="57" spans="1:9" x14ac:dyDescent="0.25">
      <c r="A57" s="13"/>
      <c r="B57" s="10" t="s">
        <v>3</v>
      </c>
      <c r="C57" s="10"/>
      <c r="D57" s="10"/>
      <c r="E57" s="10"/>
      <c r="F57" s="10"/>
      <c r="G57" s="10"/>
      <c r="H57" s="10"/>
      <c r="I57" s="10"/>
    </row>
    <row r="58" spans="1:9" x14ac:dyDescent="0.25">
      <c r="A58" s="13"/>
      <c r="B58" s="11" t="s">
        <v>4</v>
      </c>
      <c r="C58" s="11"/>
      <c r="D58" s="11"/>
      <c r="E58" s="11"/>
      <c r="F58" s="11"/>
      <c r="G58" s="11"/>
      <c r="H58" s="11"/>
      <c r="I58" s="11"/>
    </row>
    <row r="59" spans="1:9" x14ac:dyDescent="0.25">
      <c r="A59" s="13">
        <v>3</v>
      </c>
      <c r="B59" s="9" t="s">
        <v>2</v>
      </c>
      <c r="C59" s="9"/>
      <c r="D59" s="9"/>
      <c r="E59" s="9"/>
      <c r="F59" s="9"/>
      <c r="G59" s="9"/>
      <c r="H59" s="9"/>
      <c r="I59" s="9"/>
    </row>
    <row r="60" spans="1:9" x14ac:dyDescent="0.25">
      <c r="A60" s="13"/>
      <c r="B60" s="10" t="s">
        <v>3</v>
      </c>
      <c r="C60" s="10"/>
      <c r="D60" s="10"/>
      <c r="E60" s="10"/>
      <c r="F60" s="10"/>
      <c r="G60" s="10"/>
      <c r="H60" s="10"/>
      <c r="I60" s="10"/>
    </row>
    <row r="61" spans="1:9" x14ac:dyDescent="0.25">
      <c r="A61" s="13"/>
      <c r="B61" s="11" t="s">
        <v>4</v>
      </c>
      <c r="C61" s="11"/>
      <c r="D61" s="11"/>
      <c r="E61" s="11"/>
      <c r="F61" s="11"/>
      <c r="G61" s="11"/>
      <c r="H61" s="11"/>
      <c r="I61" s="11"/>
    </row>
    <row r="62" spans="1:9" x14ac:dyDescent="0.25">
      <c r="A62" s="13">
        <v>4</v>
      </c>
      <c r="B62" s="9" t="s">
        <v>2</v>
      </c>
      <c r="C62" s="9"/>
      <c r="D62" s="9"/>
      <c r="E62" s="9"/>
      <c r="F62" s="9"/>
      <c r="G62" s="9"/>
      <c r="H62" s="9"/>
      <c r="I62" s="9"/>
    </row>
    <row r="63" spans="1:9" x14ac:dyDescent="0.25">
      <c r="A63" s="13"/>
      <c r="B63" s="10" t="s">
        <v>3</v>
      </c>
      <c r="C63" s="10"/>
      <c r="D63" s="10"/>
      <c r="E63" s="10"/>
      <c r="F63" s="10"/>
      <c r="G63" s="10"/>
      <c r="H63" s="10"/>
      <c r="I63" s="10"/>
    </row>
    <row r="64" spans="1:9" x14ac:dyDescent="0.25">
      <c r="A64" s="13"/>
      <c r="B64" s="11" t="s">
        <v>4</v>
      </c>
      <c r="C64" s="11"/>
      <c r="D64" s="11"/>
      <c r="E64" s="11"/>
      <c r="F64" s="11"/>
      <c r="G64" s="11"/>
      <c r="H64" s="11"/>
      <c r="I64" s="11"/>
    </row>
    <row r="65" spans="1:9" x14ac:dyDescent="0.25">
      <c r="A65" s="13">
        <v>5</v>
      </c>
      <c r="B65" s="9" t="s">
        <v>2</v>
      </c>
      <c r="C65" s="9"/>
      <c r="D65" s="9"/>
      <c r="E65" s="9"/>
      <c r="F65" s="9"/>
      <c r="G65" s="9"/>
      <c r="H65" s="9"/>
      <c r="I65" s="9"/>
    </row>
    <row r="66" spans="1:9" x14ac:dyDescent="0.25">
      <c r="A66" s="13"/>
      <c r="B66" s="10" t="s">
        <v>3</v>
      </c>
      <c r="C66" s="10"/>
      <c r="D66" s="10"/>
      <c r="E66" s="10"/>
      <c r="F66" s="10"/>
      <c r="G66" s="10"/>
      <c r="H66" s="10"/>
      <c r="I66" s="10"/>
    </row>
    <row r="67" spans="1:9" x14ac:dyDescent="0.25">
      <c r="A67" s="13"/>
      <c r="B67" s="11" t="s">
        <v>4</v>
      </c>
      <c r="C67" s="11"/>
      <c r="D67" s="11"/>
      <c r="E67" s="11"/>
      <c r="F67" s="11"/>
      <c r="G67" s="11"/>
      <c r="H67" s="11"/>
      <c r="I67" s="11"/>
    </row>
  </sheetData>
  <mergeCells count="26">
    <mergeCell ref="K23:K24"/>
    <mergeCell ref="A59:A61"/>
    <mergeCell ref="A62:A64"/>
    <mergeCell ref="A65:A67"/>
    <mergeCell ref="K2:K3"/>
    <mergeCell ref="K4:K5"/>
    <mergeCell ref="K6:K7"/>
    <mergeCell ref="K19:K20"/>
    <mergeCell ref="K21:K22"/>
    <mergeCell ref="A39:A41"/>
    <mergeCell ref="A42:A44"/>
    <mergeCell ref="A45:A47"/>
    <mergeCell ref="A48:A50"/>
    <mergeCell ref="A53:A55"/>
    <mergeCell ref="A56:A58"/>
    <mergeCell ref="A19:A21"/>
    <mergeCell ref="A22:A24"/>
    <mergeCell ref="A25:A27"/>
    <mergeCell ref="A28:A30"/>
    <mergeCell ref="A31:A33"/>
    <mergeCell ref="A36:A38"/>
    <mergeCell ref="A2:A4"/>
    <mergeCell ref="A5:A7"/>
    <mergeCell ref="A8:A10"/>
    <mergeCell ref="A11:A13"/>
    <mergeCell ref="A14:A16"/>
  </mergeCells>
  <pageMargins left="0.7" right="0.7" top="0.75" bottom="0.75" header="0.3" footer="0.3"/>
  <pageSetup paperSize="9" orientation="portrait" r:id="rId1"/>
  <ignoredErrors>
    <ignoredError sqref="R4 L4:Q4 L6:R6" formula="1"/>
    <ignoredError sqref="H1 H18 H35 Q1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Лаб1</vt:lpstr>
      <vt:lpstr>Лаб2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Морозов Андрей Валентинович</dc:creator>
  <cp:lastModifiedBy>Морозов Андрей Валентинович</cp:lastModifiedBy>
  <dcterms:created xsi:type="dcterms:W3CDTF">2025-09-08T12:06:43Z</dcterms:created>
  <dcterms:modified xsi:type="dcterms:W3CDTF">2025-12-01T12:24:59Z</dcterms:modified>
</cp:coreProperties>
</file>